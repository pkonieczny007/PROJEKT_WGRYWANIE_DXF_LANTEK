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QNAP-ENERGO\Projekty_INTEGRA\PLANOWANIE\AKTUALNE_PROJEKTY\PROJEKT_WGRYWANIE_DXF_LANTEK\kontekst\wykaz\"/>
    </mc:Choice>
  </mc:AlternateContent>
  <xr:revisionPtr revIDLastSave="0" documentId="13_ncr:1_{55F8F689-58A8-41C8-B5B8-86ED6F8C0578}" xr6:coauthVersionLast="47" xr6:coauthVersionMax="47" xr10:uidLastSave="{00000000-0000-0000-0000-000000000000}"/>
  <bookViews>
    <workbookView xWindow="16125" yWindow="-16200" windowWidth="28425" windowHeight="15585" tabRatio="901" xr2:uid="{00000000-000D-0000-FFFF-FFFF00000000}"/>
  </bookViews>
  <sheets>
    <sheet name="WYKAZ" sheetId="1" r:id="rId1"/>
    <sheet name="ZŁĄCZNE" sheetId="2" r:id="rId2"/>
    <sheet name="PROFILE" sheetId="3" r:id="rId3"/>
    <sheet name="GUMA" sheetId="4" r:id="rId4"/>
    <sheet name="GUMOWANIE" sheetId="5" r:id="rId5"/>
    <sheet name="BEBNY" sheetId="6" r:id="rId6"/>
    <sheet name="INNE" sheetId="7" r:id="rId7"/>
    <sheet name="ŁOŻYSKA" sheetId="8" r:id="rId8"/>
    <sheet name="ROLKI" sheetId="9" r:id="rId9"/>
    <sheet name="TAŚMA" sheetId="10" r:id="rId10"/>
    <sheet name="ZDZIERAK" sheetId="11" r:id="rId11"/>
    <sheet name="ELEKTRO" sheetId="12" r:id="rId12"/>
    <sheet name="RA CONTROLS" sheetId="13" r:id="rId13"/>
    <sheet name="NEW TECH" sheetId="14" r:id="rId14"/>
    <sheet name="SIATKI" sheetId="15" r:id="rId15"/>
  </sheets>
  <definedNames>
    <definedName name="_xlnm._FilterDatabase" localSheetId="5" hidden="1">BEBNY!$A$1:$O$86</definedName>
    <definedName name="_xlnm._FilterDatabase" localSheetId="11" hidden="1">ELEKTRO!$A$1:$C$7</definedName>
    <definedName name="_xlnm._FilterDatabase" localSheetId="3" hidden="1">GUMA!$A$1:$O$33</definedName>
    <definedName name="_xlnm._FilterDatabase" localSheetId="4" hidden="1">GUMOWANIE!$A$1:$O$6</definedName>
    <definedName name="_xlnm._FilterDatabase" localSheetId="6" hidden="1">INNE!$A$1:$C$4</definedName>
    <definedName name="_xlnm._FilterDatabase" localSheetId="7" hidden="1">ŁOŻYSKA!$A$1:$C$20</definedName>
    <definedName name="_xlnm._FilterDatabase" localSheetId="13" hidden="1">'NEW TECH'!$A$1:$C$4</definedName>
    <definedName name="_xlnm._FilterDatabase" localSheetId="12" hidden="1">'RA CONTROLS'!$A$1:$C$6</definedName>
    <definedName name="_xlnm._FilterDatabase" localSheetId="8" hidden="1">ROLKI!$A$3:$C$10</definedName>
    <definedName name="_xlnm._FilterDatabase" localSheetId="14" hidden="1">SIATKI!$A$1:$AP$7</definedName>
    <definedName name="_xlnm._FilterDatabase" localSheetId="9" hidden="1">TAŚMA!$A$1:$C$3</definedName>
    <definedName name="_xlnm._FilterDatabase" localSheetId="0" hidden="1">WYKAZ!$A$1:$DH$56</definedName>
    <definedName name="_xlnm._FilterDatabase" localSheetId="10" hidden="1">ZDZIERAK!$A$1:$C$3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5" i="1" l="1"/>
  <c r="AK54" i="1"/>
  <c r="AK53" i="1"/>
  <c r="AK51" i="1"/>
  <c r="AK47" i="1"/>
  <c r="AK46" i="1"/>
  <c r="AK45" i="1"/>
  <c r="AK56" i="1"/>
  <c r="AK52" i="1"/>
  <c r="AK49" i="1"/>
  <c r="AK48" i="1"/>
  <c r="AK43" i="1"/>
  <c r="AK35" i="1"/>
  <c r="CW56" i="1" l="1"/>
  <c r="CW52" i="1"/>
  <c r="CW49" i="1"/>
  <c r="CW48" i="1"/>
  <c r="CW44" i="1"/>
  <c r="CW35" i="1"/>
  <c r="AK33" i="1"/>
  <c r="CW33" i="1" l="1"/>
</calcChain>
</file>

<file path=xl/sharedStrings.xml><?xml version="1.0" encoding="utf-8"?>
<sst xmlns="http://schemas.openxmlformats.org/spreadsheetml/2006/main" count="4523" uniqueCount="803">
  <si>
    <t>L.P.</t>
  </si>
  <si>
    <t>Stufe</t>
  </si>
  <si>
    <t>Posn</t>
  </si>
  <si>
    <t>Material</t>
  </si>
  <si>
    <t>Anz.</t>
  </si>
  <si>
    <t>Menge</t>
  </si>
  <si>
    <t>ME</t>
  </si>
  <si>
    <t>Abmess_1</t>
  </si>
  <si>
    <t>Abmes_2</t>
  </si>
  <si>
    <t>Bezeichnung.............................</t>
  </si>
  <si>
    <t>Zeinr</t>
  </si>
  <si>
    <t>ZEF</t>
  </si>
  <si>
    <t>ZEV</t>
  </si>
  <si>
    <t>Postext_1...............................</t>
  </si>
  <si>
    <t>APS</t>
  </si>
  <si>
    <t>APRev.</t>
  </si>
  <si>
    <t>MART</t>
  </si>
  <si>
    <t>B</t>
  </si>
  <si>
    <t>MS</t>
  </si>
  <si>
    <t>S</t>
  </si>
  <si>
    <t>Gewicht</t>
  </si>
  <si>
    <t>Mitterbauer</t>
  </si>
  <si>
    <t>ZAKUPY</t>
  </si>
  <si>
    <t>FB</t>
  </si>
  <si>
    <t>NR FB</t>
  </si>
  <si>
    <t>MODUŁ</t>
  </si>
  <si>
    <t>komentarze dla technologów</t>
  </si>
  <si>
    <t>INFO</t>
  </si>
  <si>
    <t>KOOP/USŁUGA</t>
  </si>
  <si>
    <t>MONTAŻ/WYSYŁKA</t>
  </si>
  <si>
    <t>ZLECENIE</t>
  </si>
  <si>
    <t>UWAGI</t>
  </si>
  <si>
    <t>Nazwa</t>
  </si>
  <si>
    <t>sposób gięcia</t>
  </si>
  <si>
    <t>Gięcie</t>
  </si>
  <si>
    <t>INDEX</t>
  </si>
  <si>
    <t>sprawdzenie</t>
  </si>
  <si>
    <t>dodatkowa kolumna</t>
  </si>
  <si>
    <t>NazwaSkrócona</t>
  </si>
  <si>
    <t>propozycja</t>
  </si>
  <si>
    <t>gatunek_zrodlo</t>
  </si>
  <si>
    <t>gatunek_poprawiony</t>
  </si>
  <si>
    <t>grubosc_zrodlo</t>
  </si>
  <si>
    <t>grubosc_poprawiona</t>
  </si>
  <si>
    <t>uwagi_poprawek</t>
  </si>
  <si>
    <t>00001</t>
  </si>
  <si>
    <t>.1</t>
  </si>
  <si>
    <t>SL6052542</t>
  </si>
  <si>
    <t>ST</t>
  </si>
  <si>
    <t>FÖRDERBAND PBB0650x050,0M</t>
  </si>
  <si>
    <t>F</t>
  </si>
  <si>
    <t>L</t>
  </si>
  <si>
    <t>7.756</t>
  </si>
  <si>
    <t>Gewicht ohne Beistellung</t>
  </si>
  <si>
    <t>sbm</t>
  </si>
  <si>
    <t>montaż</t>
  </si>
  <si>
    <t>45681129</t>
  </si>
  <si>
    <t>DOMÓWIENIE 09.09.2026</t>
  </si>
  <si>
    <t>00002</t>
  </si>
  <si>
    <t>..2</t>
  </si>
  <si>
    <t>KEGELRADGETRIEBEMOTOR*7,5KW*KH083*47UPM*</t>
  </si>
  <si>
    <t>Beistellung SBM</t>
  </si>
  <si>
    <t>KEGELRADGETRIEBEMOTOR</t>
  </si>
  <si>
    <t>7,5KW</t>
  </si>
  <si>
    <t>KH083</t>
  </si>
  <si>
    <t>47UPM</t>
  </si>
  <si>
    <t>00003</t>
  </si>
  <si>
    <t>FOERDERGURT*0650/108000*EP 400/3 4+2 OFFEN</t>
  </si>
  <si>
    <t xml:space="preserve">       1.039,000</t>
  </si>
  <si>
    <t>TAŚMA</t>
  </si>
  <si>
    <t>FOERDERGURT</t>
  </si>
  <si>
    <t>0650/108000</t>
  </si>
  <si>
    <t>EP 400/3 4+2 OFFEN</t>
  </si>
  <si>
    <t>00004</t>
  </si>
  <si>
    <t>SL40630429</t>
  </si>
  <si>
    <t>ANTRIEBSTATION BB0650 DM422 KH083</t>
  </si>
  <si>
    <t>ZŁOŻENIE</t>
  </si>
  <si>
    <t>ANTRIEBSTATION</t>
  </si>
  <si>
    <t>00005</t>
  </si>
  <si>
    <t>...3</t>
  </si>
  <si>
    <t>SL40631125</t>
  </si>
  <si>
    <t>ANTRIEBSTROMMEL BB0650 DM422 KH083</t>
  </si>
  <si>
    <t>BEBNY</t>
  </si>
  <si>
    <t>kooperacja</t>
  </si>
  <si>
    <t>bęben</t>
  </si>
  <si>
    <t>00006</t>
  </si>
  <si>
    <t>....4</t>
  </si>
  <si>
    <t>SL40631701</t>
  </si>
  <si>
    <t>TROMMEL DM406 L=0740 75/115</t>
  </si>
  <si>
    <t>00007</t>
  </si>
  <si>
    <t>.....5</t>
  </si>
  <si>
    <t>MM</t>
  </si>
  <si>
    <t>ST-R NTL*406,4/10,0*DIN 2448**ST37.0</t>
  </si>
  <si>
    <t>H</t>
  </si>
  <si>
    <t>ST-R NTL</t>
  </si>
  <si>
    <t>406,4/10,0</t>
  </si>
  <si>
    <t>DIN 2448</t>
  </si>
  <si>
    <t>ST37.0</t>
  </si>
  <si>
    <t>00008</t>
  </si>
  <si>
    <t>M2</t>
  </si>
  <si>
    <t>BLECH*030,00*EN 10029*1.0122*S235JRC</t>
  </si>
  <si>
    <t>BLECH</t>
  </si>
  <si>
    <t>EN 10029</t>
  </si>
  <si>
    <t>S235JRC</t>
  </si>
  <si>
    <t>00009</t>
  </si>
  <si>
    <t>BLECH*004,00*EN 10029*1.0122*S235JRC</t>
  </si>
  <si>
    <t>00010</t>
  </si>
  <si>
    <t>SL40631837</t>
  </si>
  <si>
    <t>ANTRIEBSWELLE DM075 L=1312 KH083</t>
  </si>
  <si>
    <t>00011</t>
  </si>
  <si>
    <t>RST BL*075*EN 10278*1.1191*C45E*h6</t>
  </si>
  <si>
    <t>RST BL</t>
  </si>
  <si>
    <t>EN 10278</t>
  </si>
  <si>
    <t>C45E</t>
  </si>
  <si>
    <t>h6</t>
  </si>
  <si>
    <t>00012</t>
  </si>
  <si>
    <t>SLH164862</t>
  </si>
  <si>
    <t>SPANNSATZ*DM 75/DM 115 TLK 133 5000NM</t>
  </si>
  <si>
    <t>ŁOŻYSKA</t>
  </si>
  <si>
    <t>SPANNSATZ</t>
  </si>
  <si>
    <t>DM 75/DM 115 TLK 133 5000NM</t>
  </si>
  <si>
    <t>00013</t>
  </si>
  <si>
    <t>SLH020023</t>
  </si>
  <si>
    <t>REIBBELAG*BB0650 DM406/422 L=0750 S=8
RAUTENF.</t>
  </si>
  <si>
    <t>GUMOWANIE</t>
  </si>
  <si>
    <t>REIBBELAG</t>
  </si>
  <si>
    <t>BB0650 DM406/422 L=0750 S=8
RAUTENF.</t>
  </si>
  <si>
    <t>00014</t>
  </si>
  <si>
    <t>SL40031906</t>
  </si>
  <si>
    <t>MONTAGESCHEIBE DM060 WATT KUA80</t>
  </si>
  <si>
    <t>00015</t>
  </si>
  <si>
    <t>RST BL*060*EN 10278*S355J2+N*h9+SL</t>
  </si>
  <si>
    <t>S355J2+N</t>
  </si>
  <si>
    <t>h9+SL</t>
  </si>
  <si>
    <t>00016</t>
  </si>
  <si>
    <t>M20  /060</t>
  </si>
  <si>
    <t>ZYL-SCHR*M20  /060* *DIN 6912* 8.8 VZ</t>
  </si>
  <si>
    <t>ZYL-SCHR</t>
  </si>
  <si>
    <t>DIN 6912</t>
  </si>
  <si>
    <t xml:space="preserve"> 8.8 VZ</t>
  </si>
  <si>
    <t>00017</t>
  </si>
  <si>
    <t>018/11/160</t>
  </si>
  <si>
    <t>PASSFEDER*018/11/160*A *DIN 6885</t>
  </si>
  <si>
    <t>PASSFEDER</t>
  </si>
  <si>
    <t xml:space="preserve">A </t>
  </si>
  <si>
    <t>DIN 6885</t>
  </si>
  <si>
    <t>00018</t>
  </si>
  <si>
    <t>SL40032117</t>
  </si>
  <si>
    <t>LAGERUNG DM075 SNL517 F. ANTRIEBSTROMMEL</t>
  </si>
  <si>
    <t>00019</t>
  </si>
  <si>
    <t>M020/070</t>
  </si>
  <si>
    <t>SKT-SCHR*M020/070*ISO 4017*8.8*A3K-VZ*SB</t>
  </si>
  <si>
    <t>ZŁĄCZNE</t>
  </si>
  <si>
    <t>SKT-SCHR</t>
  </si>
  <si>
    <t>ISO 4017</t>
  </si>
  <si>
    <t>A3K-VZ</t>
  </si>
  <si>
    <t>SB</t>
  </si>
  <si>
    <t>00020</t>
  </si>
  <si>
    <t>M020</t>
  </si>
  <si>
    <t>SKT-MUTTER*M020*ISO 4032*8*A3K-VZ*SB</t>
  </si>
  <si>
    <t>SKT-MUTTER</t>
  </si>
  <si>
    <t>ISO 4032</t>
  </si>
  <si>
    <t>00021</t>
  </si>
  <si>
    <t>SCHEIBE*021  *A*DIN  125*ST 300HV VZ</t>
  </si>
  <si>
    <t>SCHEIBE</t>
  </si>
  <si>
    <t>A</t>
  </si>
  <si>
    <t>DIN  125</t>
  </si>
  <si>
    <t>ST 300HV VZ</t>
  </si>
  <si>
    <t>00022</t>
  </si>
  <si>
    <t>SLH01881    01</t>
  </si>
  <si>
    <t>STEHLAGERGEHÄUSE*SNL517V SKF
(SNV 150 , SNU 517)
(SNV150-F-L)</t>
  </si>
  <si>
    <t>STEHLAGERGEHÄUSE</t>
  </si>
  <si>
    <t>SNL517V SKF
(SNV 150 , SNU 517)
(SNV150-F-L)</t>
  </si>
  <si>
    <t>00023</t>
  </si>
  <si>
    <t>SL22217</t>
  </si>
  <si>
    <t>PENDELROLLENLAGER 22217 KEGELIGE BOHRUNG
SKF: 22217 EK</t>
  </si>
  <si>
    <t>00024</t>
  </si>
  <si>
    <t>SLH01971</t>
  </si>
  <si>
    <t>SPANNHÜLSE H317
ISB, DIN5415</t>
  </si>
  <si>
    <t>00025</t>
  </si>
  <si>
    <t>SLH04812</t>
  </si>
  <si>
    <t>FESTRING*150/12,5 FRB</t>
  </si>
  <si>
    <t>FESTRING</t>
  </si>
  <si>
    <t>150/12,5 FRB</t>
  </si>
  <si>
    <t>00026</t>
  </si>
  <si>
    <t>SLH09102</t>
  </si>
  <si>
    <t>LAGERDECKEL*ASNH 517 DKV 150</t>
  </si>
  <si>
    <t>LAGERDECKEL</t>
  </si>
  <si>
    <t>ASNH 517 DKV 150</t>
  </si>
  <si>
    <t>00027</t>
  </si>
  <si>
    <t>SLH04817</t>
  </si>
  <si>
    <t>Zweilippendichtung
TSN...L wurde geändert auf TXL 517
SKF-LINGTOS
2 Dichtungshälften = 1 Stk.</t>
  </si>
  <si>
    <t>00028</t>
  </si>
  <si>
    <t>M10/1  *A*DIN340</t>
  </si>
  <si>
    <t>FLACHSCHMIERKOPF*M10/1  *A*DIN3404*ST VZ</t>
  </si>
  <si>
    <t>FLACHSCHMIERKOPF</t>
  </si>
  <si>
    <t xml:space="preserve">M10/1  </t>
  </si>
  <si>
    <t>DIN3404</t>
  </si>
  <si>
    <t>ST VZ</t>
  </si>
  <si>
    <t>00029</t>
  </si>
  <si>
    <t>STAUBSCHUTZKAPPE  959 rot
für FLACHKOPFSCHMIERNIPPEL, DIN 3404  SW 17</t>
  </si>
  <si>
    <t>00030</t>
  </si>
  <si>
    <t>SL40633122</t>
  </si>
  <si>
    <t>DREHMOMENTSTÜTZE BB0650 KH083</t>
  </si>
  <si>
    <t>00031</t>
  </si>
  <si>
    <t>SL40033136</t>
  </si>
  <si>
    <t>DREHMOMENTSTÜTZE KH083</t>
  </si>
  <si>
    <t>00032</t>
  </si>
  <si>
    <t>BLECH*012,00*EN 10029*1.0122*S235JRC</t>
  </si>
  <si>
    <t>BLACHA</t>
  </si>
  <si>
    <t>SL40033136_p1</t>
  </si>
  <si>
    <t>12_S235_SL40033136_p1_1st_G_1847_</t>
  </si>
  <si>
    <t>S235</t>
  </si>
  <si>
    <t>012,00</t>
  </si>
  <si>
    <t>gatunek S235JRC -&gt; S235</t>
  </si>
  <si>
    <t>00033</t>
  </si>
  <si>
    <t>SL40033947</t>
  </si>
  <si>
    <t>ZUGSTANGE L=315</t>
  </si>
  <si>
    <t>00034</t>
  </si>
  <si>
    <t>BLECH*008,00*EN 10029*1.0038*S235JR</t>
  </si>
  <si>
    <t>SL40033947_p1</t>
  </si>
  <si>
    <t>8_S235_SL40033947_p1_2st__9468_</t>
  </si>
  <si>
    <t>S235JR</t>
  </si>
  <si>
    <t>008,00</t>
  </si>
  <si>
    <t>gatunek S235JR -&gt; S235</t>
  </si>
  <si>
    <t>00035</t>
  </si>
  <si>
    <t>M016 /035</t>
  </si>
  <si>
    <t>SKT-SCHR*M016/035*ISO 4017*8.8*A3K-VZ*SB</t>
  </si>
  <si>
    <t>M016/035</t>
  </si>
  <si>
    <t>00036</t>
  </si>
  <si>
    <t>SCHEIBE*017  A *DIN  125**ST 300HV VZ</t>
  </si>
  <si>
    <t xml:space="preserve">017  A </t>
  </si>
  <si>
    <t>00037</t>
  </si>
  <si>
    <t>M030/070</t>
  </si>
  <si>
    <t>SKT-SCHR*M030/070*ISO 4017*8.8*A2K-VZ</t>
  </si>
  <si>
    <t>A2K-VZ</t>
  </si>
  <si>
    <t>00038</t>
  </si>
  <si>
    <t>M030</t>
  </si>
  <si>
    <t>SKT-MUTTER*M030*ISO 4032*8*A2K-VZ</t>
  </si>
  <si>
    <t>00039</t>
  </si>
  <si>
    <t>SCHEIBE*031  *A*DIN  125*ST VZ</t>
  </si>
  <si>
    <t>00040</t>
  </si>
  <si>
    <t>SL40634101</t>
  </si>
  <si>
    <t>GRUNDRAHMEN BB0650 DM340/422 SNL513-518</t>
  </si>
  <si>
    <t>00041</t>
  </si>
  <si>
    <t>SL40034101</t>
  </si>
  <si>
    <t>SEITENWAND GRUNDRA. DM340/422 SNL513-518</t>
  </si>
  <si>
    <t>SL40034102</t>
  </si>
  <si>
    <t>00042</t>
  </si>
  <si>
    <t>BLECH*005,00*EN 10029*1.0122*S235JRC</t>
  </si>
  <si>
    <t>1 x lustrzane odbicie</t>
  </si>
  <si>
    <t>SL40034102_p2</t>
  </si>
  <si>
    <t>5_S235_SL40034102_p2_1st_GS_9468_L</t>
  </si>
  <si>
    <t>005,00</t>
  </si>
  <si>
    <t>00043</t>
  </si>
  <si>
    <t>BLECH*012,00*EN 10029*1.0038*S235JR</t>
  </si>
  <si>
    <t>SL40034102_p3</t>
  </si>
  <si>
    <t>12_S235_SL40034102_p3_1st_S_9468_1</t>
  </si>
  <si>
    <t>00044</t>
  </si>
  <si>
    <t>SL40034102_p5</t>
  </si>
  <si>
    <t>12_S235_SL40034102_p5_1st_GS_9468_L</t>
  </si>
  <si>
    <t>00045</t>
  </si>
  <si>
    <t>SL40034102_p7</t>
  </si>
  <si>
    <t>12_S235_SL40034102_p7_1st_GS_9468_L</t>
  </si>
  <si>
    <t>00046</t>
  </si>
  <si>
    <t>SL40034102_p9</t>
  </si>
  <si>
    <t>5_S235_SL40034102_p9_1st_GS_9468_L</t>
  </si>
  <si>
    <t>00047</t>
  </si>
  <si>
    <t>SL40034102_p10</t>
  </si>
  <si>
    <t>12_S235_SL40034102_p10_1st_S_9468_1</t>
  </si>
  <si>
    <t>00048</t>
  </si>
  <si>
    <t>SL40034102_p11</t>
  </si>
  <si>
    <t>12_S235_SL40034102_p11_1st_S_9468_1</t>
  </si>
  <si>
    <t>00049</t>
  </si>
  <si>
    <t>00050</t>
  </si>
  <si>
    <t>1 x jak pokazano</t>
  </si>
  <si>
    <t>SL40034102_p1</t>
  </si>
  <si>
    <t>5_S235_SL40034102_p1_1st_GS_9468_P</t>
  </si>
  <si>
    <t>00051</t>
  </si>
  <si>
    <t>00052</t>
  </si>
  <si>
    <t>SL40034102_p4</t>
  </si>
  <si>
    <t>12_S235_SL40034102_p4_1st_GS_9468_P</t>
  </si>
  <si>
    <t>00053</t>
  </si>
  <si>
    <t>SL40034102_p6</t>
  </si>
  <si>
    <t>12_S235_SL40034102_p6_1st_GS_9468_P</t>
  </si>
  <si>
    <t>00054</t>
  </si>
  <si>
    <t>SL40034102_p8</t>
  </si>
  <si>
    <t>5_S235_SL40034102_p8_1st_GS_9468_P</t>
  </si>
  <si>
    <t>00055</t>
  </si>
  <si>
    <t>......6</t>
  </si>
  <si>
    <t>SKT-SCHR*M010/030*ISO 4017*8.8*A2K-VZ</t>
  </si>
  <si>
    <t>SKT-MUTTER*M010*ISO 4032*8*A2K-VZ</t>
  </si>
  <si>
    <t>SCHEIBE*010,5*A*DIN  125*ST 300HV VZ</t>
  </si>
  <si>
    <t>SL40034914</t>
  </si>
  <si>
    <t>BLECH*004,00*EN 10029*1.0038*S235JR</t>
  </si>
  <si>
    <t>GI-PLATTE*004*A 560*40 SH*OHNE EINLAGE</t>
  </si>
  <si>
    <t>GUMA</t>
  </si>
  <si>
    <t>SCHEIBE*M010*ISO 7089*200 HV*A3K-VZ*SB</t>
  </si>
  <si>
    <t>SKT-SCHR*M012/035*ISO 4017*8.8*A3K-VZ*SB</t>
  </si>
  <si>
    <t>SKT-MUTTER*M012*ISO 4032*8*A3K-VZ*SB</t>
  </si>
  <si>
    <t>SCHEIBE*013  *A*DIN  125*ST 300HV VZ</t>
  </si>
  <si>
    <t>SKT-SCHR*M012/030*ISO 4017*5.6*A2K-VZ</t>
  </si>
  <si>
    <t>SKT-SCHR*M012/040*ISO 4017*8.8*A3K-VZ*SB</t>
  </si>
  <si>
    <t>ABSTREIFER*REMACLEAN*HM-U11*BB0650*</t>
  </si>
  <si>
    <t>SL40638024</t>
  </si>
  <si>
    <t>GI-PLATTE*010*BLACK-STAR*60 SH*</t>
  </si>
  <si>
    <t>SCHEIBE*M012*ISO 7089*200 HV*A3K-VZ*SB</t>
  </si>
  <si>
    <t>SKT-SCHR*M012/030*ISO 4017*8.8*A3K-VZ*SB</t>
  </si>
  <si>
    <t>SKT-SCHR*M008/025*ISO 4017*8.8*A2K-VZ</t>
  </si>
  <si>
    <t>SKT-MUTTER*M008*ISO 4032*8*A2K-VZ</t>
  </si>
  <si>
    <t>SCHEIBE*M008*ISO 7089*200 HV*A3K-VZ*SB</t>
  </si>
  <si>
    <t>EXZENTERVERSCHLUSS*60450*VERZINKT
Artikel 6.020.709.00</t>
  </si>
  <si>
    <t>MAGAZYN</t>
  </si>
  <si>
    <t>SL40035901</t>
  </si>
  <si>
    <t>ST-R NTL*057,0/08,0*DIN 2448**ST37.0</t>
  </si>
  <si>
    <t>M</t>
  </si>
  <si>
    <t>SKT-MUTTER*M024*ISO 4032*8*A3K-VZ*SB</t>
  </si>
  <si>
    <t>SCHEIBE*M024*ISO 7089*200 HV*A3K-VZ*SB</t>
  </si>
  <si>
    <t>SKT-MUTTER*M012    *  *DIN  929*KL 8</t>
  </si>
  <si>
    <t>SKT-MUTTER*M012*ISO 4035*4*A2K-VZ</t>
  </si>
  <si>
    <t>SKT-SCHR*M012/025*ISO 4017*8.8*A3K-VZ*SB</t>
  </si>
  <si>
    <t>SKT-SCHR*M016/050*ISO 4017*8.8*A3K-VZ*SB</t>
  </si>
  <si>
    <t>SKT-MUTTER*M016*ISO 4032*8*A3K-VZ*SB</t>
  </si>
  <si>
    <t>SCHEIBE*M020*ISO 7093-1*200 HV*A3K-VZ*SB</t>
  </si>
  <si>
    <t>SPANNSTATION</t>
  </si>
  <si>
    <t>SL40641003</t>
  </si>
  <si>
    <t>SPANNTROMMEL BB0650 DM324 SNL511</t>
  </si>
  <si>
    <t>SL40641706</t>
  </si>
  <si>
    <t>TROMMEL DM324 L=0740 50/80</t>
  </si>
  <si>
    <t>ST-R NTL*323,9/08,0*DIN 2448**ST35.0</t>
  </si>
  <si>
    <t>SL40641803</t>
  </si>
  <si>
    <t>SPANNWELLE DM50 L=974</t>
  </si>
  <si>
    <t>RST BL*050*EN 10278*1.0503*C45*h6+SL</t>
  </si>
  <si>
    <t>SLH164861</t>
  </si>
  <si>
    <t>SPANNSATZ*DM 50/DM80 TLK 133 1830NM</t>
  </si>
  <si>
    <t>SKT-SCHR*M016/080*ISO 4017*8.8*A2K-VZ</t>
  </si>
  <si>
    <t>SCHEIBE*018,0* *DIN  434*ST*VZ</t>
  </si>
  <si>
    <t>SLH12314</t>
  </si>
  <si>
    <t>PENDELROLLENLAGER*22211 KEGELIGE BOHRUNG
SKF: 22211 EK</t>
  </si>
  <si>
    <t>SLH12340    01</t>
  </si>
  <si>
    <t>FESTRING*FRB 9,5/100 -40 GRAD</t>
  </si>
  <si>
    <t>SLH12316</t>
  </si>
  <si>
    <t>Lagerdeckel
ASNH 511-609 DKV 100
SKF-LINGTOS - 40GRAD</t>
  </si>
  <si>
    <t>SLH12315</t>
  </si>
  <si>
    <t>Zweilippendichtung
2 Dichtungshälften = 1 Stk.
TSNA 511G -40Grad</t>
  </si>
  <si>
    <t>SL40043211</t>
  </si>
  <si>
    <t>U-STAHL*UNP 120*EN 10279*S235JR</t>
  </si>
  <si>
    <t>SKT-MUTTER*M024*ISO 4035*4*A2K-VZ</t>
  </si>
  <si>
    <t>GEWINDESTANGE    M 24   4.6</t>
  </si>
  <si>
    <t>SL40044905</t>
  </si>
  <si>
    <t>VKTST GW*040*EN 10059*1.0038*S235JR</t>
  </si>
  <si>
    <t>SL40644712</t>
  </si>
  <si>
    <t>L-STAHL*050/050/05*EN 10056*S235JR</t>
  </si>
  <si>
    <t>SKT-SCHR*M016/040*ISO 4017*8.8*A3K-VZ*SB</t>
  </si>
  <si>
    <t>SL40644709</t>
  </si>
  <si>
    <t>L-STAHL*040/040/04*EN 10056*S235JR</t>
  </si>
  <si>
    <t>SKT-SCHR*M012/045*ISO 4017*8.8*A3K-VZ*SB</t>
  </si>
  <si>
    <t>SL40645202</t>
  </si>
  <si>
    <t>RST BL*030*EN 10278*S355J2+N*h11</t>
  </si>
  <si>
    <t>SL40645203</t>
  </si>
  <si>
    <t>SLH03297</t>
  </si>
  <si>
    <t>LEITGOSSENGUMMI*50/10 MM 45 SHORE</t>
  </si>
  <si>
    <t>SKT-SCHR*M016/090*ISO 4017*8.8*A2K-VZ</t>
  </si>
  <si>
    <t>SKT-MUTTER*M016*ISO 4035*4*A2K-VZ</t>
  </si>
  <si>
    <t>VKT-SCHEIBE*12*DIN 434*ST VZ</t>
  </si>
  <si>
    <t>SKT-SCHR*M010/025*ISO 4017*8.8*A2K-VZ</t>
  </si>
  <si>
    <t>VKT-SCHEIBE*14*DIN  434*ST VZ</t>
  </si>
  <si>
    <t>SKT-SCHR*M006/016*ISO 4017*8.8*A2K-VZ</t>
  </si>
  <si>
    <t>SCHEIBE*006,4*A*DIN  125*ST , VZ</t>
  </si>
  <si>
    <t>BLINDNIETMUTTER*M010*1-3,5*SENKKOPF*A2K</t>
  </si>
  <si>
    <t>SL40662903</t>
  </si>
  <si>
    <t>GITTERMATTE*30/30/3*STAHL*VERZINKT</t>
  </si>
  <si>
    <t>SIATKI</t>
  </si>
  <si>
    <t>SL40662902</t>
  </si>
  <si>
    <t>L-STAHL*040/040/05*EN 10056*S235JR</t>
  </si>
  <si>
    <t>SKT-SCHR*M010/035*ISO 4017*8.8*A2K-VZ</t>
  </si>
  <si>
    <t>SCHEIBE*010,0*ISO 7094*200HV</t>
  </si>
  <si>
    <t>SKT-SCHR*M024/090*ISO 4017*8.8*A2K-VZ</t>
  </si>
  <si>
    <t>SCHEIBE*M020*ISO 7089*200 HV*A3K-VZ*SB</t>
  </si>
  <si>
    <t>SLH02004    01</t>
  </si>
  <si>
    <t>UB-ROLLE  63/20    X 750  SW15
ENDP.2x3+3STÜRI108  GURTEC-rot</t>
  </si>
  <si>
    <t>SLH02026    01</t>
  </si>
  <si>
    <t>SEITL. FÜHRUNGSROLLE    M 20
88,9 X 132 RB 22
Sandvik-rot
GURTEC</t>
  </si>
  <si>
    <t>MATERIALAUFGABE</t>
  </si>
  <si>
    <t>BLINDNIETMUTTER*M010*4,5-6*SENKKOPF*A2K</t>
  </si>
  <si>
    <t>SL40051502</t>
  </si>
  <si>
    <t>SLH38921</t>
  </si>
  <si>
    <t>LEITGOSSENGUMMI*200/10 MM 45 SHORE</t>
  </si>
  <si>
    <t>SL40651703</t>
  </si>
  <si>
    <t>GI-PLATTE*008*BLACK-STAR*60 SH*</t>
  </si>
  <si>
    <t>SL40651704</t>
  </si>
  <si>
    <t>SKT-SCHR*M010/040*ISO 4017*8.8*A2K-VZ</t>
  </si>
  <si>
    <t>BLINDNIETE*5,0/08  ***A*DIN 7337*AL/VZ</t>
  </si>
  <si>
    <t>FLACHR-SCHR*M012/030*DIN  603* 8.8 VZ</t>
  </si>
  <si>
    <t>SKT-SCHR*M012/050*ISO 4017*8.8*A2K-VZ</t>
  </si>
  <si>
    <t>SKT-SCHR*M016/045*ISO 4017*8.8*A3K-VZ*SB</t>
  </si>
  <si>
    <t>SCHEIBE*017*DIN 125*ST VZ</t>
  </si>
  <si>
    <t>SKT-SCHR*M010/055*ISO 4017*8.8*A2K-VZ</t>
  </si>
  <si>
    <t>SCHEIBE*010,5* *DIN  125*STVZ</t>
  </si>
  <si>
    <t>SCHEIBE*M016*ISO 7089*200 HV*A3K-VZ*SB</t>
  </si>
  <si>
    <t>SKT-SCHR*M012/070*ISO 4017*8.8*A2K-VZ</t>
  </si>
  <si>
    <t>SL40671704</t>
  </si>
  <si>
    <t>SKT-SCHR*M020/080*ISO 4017*8.8*A3K-VZ*SB</t>
  </si>
  <si>
    <t>SKT-SCHR*M020/080*ISO 4017*8.8*A2K-VZ</t>
  </si>
  <si>
    <t>SCHEIBE*021  * *DIN 125*   VZ</t>
  </si>
  <si>
    <t>SCHEIBE*013*DIN  125*ST VZ</t>
  </si>
  <si>
    <t>SKT-SCHR*M020/050*ISO 4017*8.8*A3K-VZ*SB</t>
  </si>
  <si>
    <t>SCHEIBE*030  * *ISO 7089*ST300HV A4</t>
  </si>
  <si>
    <t>SKT-SCHR*M010/020*ISO 4017*8.8*A2K-VZ</t>
  </si>
  <si>
    <t>SKT-MUTTER*M010*ISO 4032*8*A2K-VZ*LI</t>
  </si>
  <si>
    <t>SKT-SCHR*M005/020*ISO 4017*8.8*A2K-VZ</t>
  </si>
  <si>
    <t>SKT-MUTTER*M005*ISO 4032*8*A2K-VZ</t>
  </si>
  <si>
    <t>SCHEIBE*005,3*A*DIN  125*ST 300HV VZ</t>
  </si>
  <si>
    <t>ZUBEHÖR</t>
  </si>
  <si>
    <t>SL40682136</t>
  </si>
  <si>
    <t>L-STAHL*090/090/09*EN 10056*S235JR</t>
  </si>
  <si>
    <t>U-STAHL*UNP 100*EN 10279*S235JR</t>
  </si>
  <si>
    <t>I-STAHL*IPE 120*EN 10034*1.0038*S235JR</t>
  </si>
  <si>
    <t>SL40682240</t>
  </si>
  <si>
    <t>SL40083001</t>
  </si>
  <si>
    <t>L-STAHL*100/100/10*EN 10056*S235JR</t>
  </si>
  <si>
    <t>SL10446065</t>
  </si>
  <si>
    <t>I-STAHL*IPE 140*EN 10034*1.0038*S235JR</t>
  </si>
  <si>
    <t>SL40082902</t>
  </si>
  <si>
    <t>L-STAHL*080/080/10*EN 10056*S235JR</t>
  </si>
  <si>
    <t>SL40682218</t>
  </si>
  <si>
    <t>U-STAHL*UNP 080*EN 10279*S235JR</t>
  </si>
  <si>
    <t>SL40682276</t>
  </si>
  <si>
    <t>SL10446069</t>
  </si>
  <si>
    <t>SL40082441</t>
  </si>
  <si>
    <t>I-STAHL*HEB (IPB)*100*EN 10034*S235JR</t>
  </si>
  <si>
    <t>SL40082924</t>
  </si>
  <si>
    <t>L-STAHL*200/150/15*EN 10056*S355J2+AR/+M</t>
  </si>
  <si>
    <t>SL40082476</t>
  </si>
  <si>
    <t>BOLZEN*30/080/070*B*ISO 2341*VZ</t>
  </si>
  <si>
    <t>SCHEIBE*031  *B*DIN  125*ST 300HV VZ</t>
  </si>
  <si>
    <t>SPLINT*08,0/040**ISO 1234*ST VZ</t>
  </si>
  <si>
    <t>SL40685102</t>
  </si>
  <si>
    <t>GI-PLATTE*008*SEMPERPRALL*60SH*1 EINL</t>
  </si>
  <si>
    <t>SKT-SCHR*M010/100*ISO 4014*8.8*A2K-VZ</t>
  </si>
  <si>
    <t>SKT-SCHR*M008/035*ISO 4017*8.8*A2K-VZ</t>
  </si>
  <si>
    <t>SKT-SCHR*M012/016*ISO 4017*8.8*A2K-VZ</t>
  </si>
  <si>
    <t>SL10372029</t>
  </si>
  <si>
    <t>SCHEIBE*012  * *ISO 7089*A2</t>
  </si>
  <si>
    <t>SCHEIBE*014,0*ISO 7094*100HV*</t>
  </si>
  <si>
    <t>SLH01987    01</t>
  </si>
  <si>
    <t>OB-ROLLE   89/20   X 250  SW15, AD20
GURTEC-rot</t>
  </si>
  <si>
    <t>SEITLICHE FUEHRUNGSROLLE
TYPE:GST 63,5/M20/100
FORM B</t>
  </si>
  <si>
    <t>SEILZUGNOTSCHALTER LIFELINE 4 ohne NA-Knopf
SEILZUGNOTSCHALTER FUER FOERDERBAND
REISSLEINENMONTAGE IN EINE RICHTUNG
OHNE PILZTASTER AM DECKEL,
RUECKSTELLHEBEL.
KONTAKTBELEGUNG: 1 SCHLIESSER, 3 OEFFNER (3 NC, 1 NO)
BIS 75 METER SEILLÄNGE
KABELEINFÜHRUNG M20
TYPE: LIFELINE 4:  440E-L13179</t>
  </si>
  <si>
    <t>SLH195692</t>
  </si>
  <si>
    <t>SPANNVORRICHTUNG      SEIL 4mm
Seileinstellung 300mm
Art.Nr. 440E-A17105
Rockwell</t>
  </si>
  <si>
    <t>AUGENSCHR*M012/100*A *DIN  444* 4.6 VZ</t>
  </si>
  <si>
    <t>SLH195690</t>
  </si>
  <si>
    <t>SEILHAKEN*SEIL 4 (1 Stk.)
****
Seilhaken SLH195690 = 1 Stk
Art.Nr. AB440E-A17107
Rockwell</t>
  </si>
  <si>
    <t>SLH195687</t>
  </si>
  <si>
    <t>REISSLEINE     4mm (0,15")
m. roter Kunststoffummantelung
in UV-beständiger Qualität
Art.Nr.440E-A14740 Rockwell</t>
  </si>
  <si>
    <t>SLH195688</t>
  </si>
  <si>
    <t>ZUGFEDER  DURCHM. 19mm
L=210mm  50N
für Reißleinen 4mm
Art.Nr. 440E-A13078
Rockwell</t>
  </si>
  <si>
    <t>SCHAUKELHAKEN zu HEN001 M10
Deckenhaken verz. gewunden
Nr. 18E, 10x140 mm</t>
  </si>
  <si>
    <t>Kabeldose M12 4 POLIG PUR KABEL
V1-W-5M-PUR
Rändelmutter geeignet für Werkzeugmontage
Rüttelsicherung durch mechanischeRastung
Vergoldete und gedrehte Kontakte
Schutzart IP67 / IP68 / IP69K
Halogenfrei</t>
  </si>
  <si>
    <t>SLH03298</t>
  </si>
  <si>
    <t>LEITGOSSENGUMMI*100/10 MM 45 SHORE</t>
  </si>
  <si>
    <t>ELEKTROROHR*SALR 32*3 METER* FA.DIETZEL</t>
  </si>
  <si>
    <t>SLH33866</t>
  </si>
  <si>
    <t>KOMFORTSCHELLE MPN-S 1" A
HILTI ART-NR.: 229817</t>
  </si>
  <si>
    <t>ENDTUELLE*32,0***STAPA</t>
  </si>
  <si>
    <t>SKT-SCHR*M008/020*ISO 4017*8.8*A2K-VZ</t>
  </si>
  <si>
    <t>SCHEIBE*008,4*A*DIN  125*ST VZ</t>
  </si>
  <si>
    <t>SLH60432</t>
  </si>
  <si>
    <t>ABSTANDSSCHELLE (ROHRSCHELLE)
733/30-38 1361384
PG 29 30-38mm Galv. Nr.634506</t>
  </si>
  <si>
    <t>SLH64071</t>
  </si>
  <si>
    <t>BEFESTIGUNGSSCHELLE
CADDY 4H 24  (3-8mm)
90° gebogen</t>
  </si>
  <si>
    <t>ZYL-SCHR*M06  /020* *DIN   84* 4.6</t>
  </si>
  <si>
    <t>SCHEIBE*006,4*A*DIN  125*ST 300HV VZ</t>
  </si>
  <si>
    <t>SKT-MUTTER*M006*ISO 4032*8*A2K-VZ</t>
  </si>
  <si>
    <t>SL6053718</t>
  </si>
  <si>
    <t>FÖRDERBAND QRF0500x020,0M</t>
  </si>
  <si>
    <t>FÖRDERGURT EP 400/3 4+2 Y ENDLOS
GURTLÄNGE: 41150 MM
GURTBREITE: 500mm
GURTQUALITÄT: Y (STANDARD-NORMQUALITÄT)</t>
  </si>
  <si>
    <t>SL40531118</t>
  </si>
  <si>
    <t>ANTRIEBSTROMMEL BB0500 DM340 KH063</t>
  </si>
  <si>
    <t>SL40531702</t>
  </si>
  <si>
    <t>TROMMEL DM324 L=0590 60/90</t>
  </si>
  <si>
    <t>SL40531818</t>
  </si>
  <si>
    <t>ANTRIEBSWELLE DM060 L=1112 KH063</t>
  </si>
  <si>
    <t>RST BL*060*EN 10278*1.0503*C45*h6+SL</t>
  </si>
  <si>
    <t>SLH155706</t>
  </si>
  <si>
    <t>SPANNSATZ*DM 60/DM 90 TLK 133 2510NM</t>
  </si>
  <si>
    <t>SLH20534</t>
  </si>
  <si>
    <t>REIBBELAG RAUTENF. B=600 S=8
BB 500 / 315 VERKLEBT</t>
  </si>
  <si>
    <t>SL40031904</t>
  </si>
  <si>
    <t>MONTAGESCHEIBE DM040 WATT KUA60</t>
  </si>
  <si>
    <t>RST BL*040*EN 10278*1.0577*S355J2</t>
  </si>
  <si>
    <t>M16   /050</t>
  </si>
  <si>
    <t>ZYL-SCHR*M16  /050* *DIN 7984* 8.8 VZ</t>
  </si>
  <si>
    <t>012/08/110</t>
  </si>
  <si>
    <t>PASSFEDER*012/08/110*A *DIN 6885*</t>
  </si>
  <si>
    <t>SKT-SCHR*M016/090*ISO 4014*8.8*A3K-VZ*SB</t>
  </si>
  <si>
    <t>SLH01879</t>
  </si>
  <si>
    <t>STEHLAGERGEHÄUSE SNL 513-611 V SKF
neue Bezeichnung SE 513-611 V</t>
  </si>
  <si>
    <t>SL22213</t>
  </si>
  <si>
    <t>PENDELROLLENLAGER*22213 EK
SKF: 22213 EK</t>
  </si>
  <si>
    <t>SLH01968</t>
  </si>
  <si>
    <t>SPANNHÜLSE*H 313 FSQ</t>
  </si>
  <si>
    <t>FESTRING*120/10   ***   * FRB</t>
  </si>
  <si>
    <t>SLH04819</t>
  </si>
  <si>
    <t>LAGERDECKEL*ASNH 513-611 SKF</t>
  </si>
  <si>
    <t>SLH04816</t>
  </si>
  <si>
    <t>Zweilippendichtung
TSN...L wurde geändert auf TXL 513
SKF-LINGTOS
2 Dichtungshälften = 1 Stk.</t>
  </si>
  <si>
    <t>ABSTREIFER*REMACLEAN*HM-U11*BB0500*
Abstreifer REMACLEAN HM-U11 BB0500 R-70
ohne Spannvorrichtung
Schabbreite SB=480
Rema Tip Top Art.Nr. 5781810</t>
  </si>
  <si>
    <t>SCHEIBE*016  * *ISO 7093-1*200 HV VZ</t>
  </si>
  <si>
    <t>SL40541005</t>
  </si>
  <si>
    <t>SPANNTROMMEL BB0500 DM324 SNL511</t>
  </si>
  <si>
    <t>SL40541704</t>
  </si>
  <si>
    <t>TROMMEL DM324 L=0590 50/80</t>
  </si>
  <si>
    <t>ST-R NTL*323,9/08,0*EN 10220*S355J2H</t>
  </si>
  <si>
    <t>BLECH*030,00*EN 10029*1.0038*S235JR</t>
  </si>
  <si>
    <t>SL40541805</t>
  </si>
  <si>
    <t>SPANNWELLE DM050 L=0822</t>
  </si>
  <si>
    <t>SL40043131</t>
  </si>
  <si>
    <t>SL40571718</t>
  </si>
  <si>
    <t>SL40545206</t>
  </si>
  <si>
    <t>SL40545203</t>
  </si>
  <si>
    <t>SL40544715</t>
  </si>
  <si>
    <t>SKT-SCHR*M016/060*ISO 4017*8.8*A3K-VZ*SB</t>
  </si>
  <si>
    <t>SL40051501</t>
  </si>
  <si>
    <t>SL40551703</t>
  </si>
  <si>
    <t>SL40551704</t>
  </si>
  <si>
    <t>SL40079001</t>
  </si>
  <si>
    <t>HALTEKLAMMER QRF60/40 M10 B=70</t>
  </si>
  <si>
    <t>SKT-MUTTER*M012*ISO 4032*8*A2K-VZ*LI</t>
  </si>
  <si>
    <t>SCHEIBE*020  * *ISO 7089*A2</t>
  </si>
  <si>
    <t>SKT-MUTTER*M020*ISO 4035*4*A2K-VZ</t>
  </si>
  <si>
    <t>SL40079002</t>
  </si>
  <si>
    <t>HALTEKLAMMER QRF60/40 M10 B=50</t>
  </si>
  <si>
    <t>SL40562004</t>
  </si>
  <si>
    <t>SCHEIBE*017,0* *DIN 9021*140HV VZ</t>
  </si>
  <si>
    <t>SL40071601</t>
  </si>
  <si>
    <t>FORMROHR*060/040/03*EN 10219*S235JRH</t>
  </si>
  <si>
    <t>FORMROHR*030/030/03*EN 10219*S235JRH</t>
  </si>
  <si>
    <t>SL40571702</t>
  </si>
  <si>
    <t>SL40571701</t>
  </si>
  <si>
    <t>SL40671702</t>
  </si>
  <si>
    <t>SKT-MUTTER*M016*ISO 4032*8*A2K-VZ*LI</t>
  </si>
  <si>
    <t>SKT-SCHR*M012/100*ISO 4017*8.8*A2K-VZ</t>
  </si>
  <si>
    <t>SKT-SCHR*M012/060*ISO 4017*8.8*A2K-VZ</t>
  </si>
  <si>
    <t>SKT-MUTTER*M012*ISO 4032*8*A3C</t>
  </si>
  <si>
    <t>SCHEIBE*012  * *ISO 7089*ST200HV A4</t>
  </si>
  <si>
    <t>SL40582151</t>
  </si>
  <si>
    <t>RST GW*015*EN 10060*1.0038*S235JR</t>
  </si>
  <si>
    <t>SL40082461</t>
  </si>
  <si>
    <t>SL40082459</t>
  </si>
  <si>
    <t>MUFFE*1 1/2"       *2701*DIN 2986*STSW *</t>
  </si>
  <si>
    <t>SL10371469</t>
  </si>
  <si>
    <t>SL40079003</t>
  </si>
  <si>
    <t>HALTEKLAMMER QRF60/40 M12 B=52</t>
  </si>
  <si>
    <t>SLH01988    01</t>
  </si>
  <si>
    <t>OB-ROLLE   89/20   X 315  SW15
GURTEC-rot</t>
  </si>
  <si>
    <t>SLH02068    01</t>
  </si>
  <si>
    <t>AUFGABEROLLE*DA 89 RD 63/20X315 SW15 ROT</t>
  </si>
  <si>
    <t>SLH02001    01</t>
  </si>
  <si>
    <t>UB-ROLLE  63/20    X 600  SW15
2x3 ENDPAKET FORM B + 2STÜRI 108 FORM A
GURTEC-rot, AD 20</t>
  </si>
  <si>
    <t>ZYL-SCHR*M06  /020* *DIN  912* 8.8 VZ</t>
  </si>
  <si>
    <t>STECKMUFFE*SALM 32 FA.DIETZEL</t>
  </si>
  <si>
    <t>SL6053719</t>
  </si>
  <si>
    <t>SL40582104</t>
  </si>
  <si>
    <t>SL40082464</t>
  </si>
  <si>
    <t>FUEHRUNGSROLLE*063,5/M20* B SEITLICH GST
SEITLICHE FUEHRUNGSROLLE
TYPE:GST 63,5/M20/100
FORM B</t>
  </si>
  <si>
    <t>SL6053720</t>
  </si>
  <si>
    <t>FÖRDERBAND QRF0500x020,0M SCHWENKBAR</t>
  </si>
  <si>
    <t>SL40087105</t>
  </si>
  <si>
    <t>FORMROHR*200/120/10*EN 10210*S275J2H</t>
  </si>
  <si>
    <t>ST-R NTL*032,0/02,0*DIN2391B**ST35 NBK</t>
  </si>
  <si>
    <t>RST BL*040*EN 10278*1.0577+N*S355J2+N*h9</t>
  </si>
  <si>
    <t>SCHEIBE*040  * *DIN 1440*ST VZ</t>
  </si>
  <si>
    <t>SPLINT*08,0/063**DIN   94*ST VZ</t>
  </si>
  <si>
    <t>RST BL*025*EN 10278*1.1191*C45E</t>
  </si>
  <si>
    <t>SCHEIBE*025  * *DIN 1440*ST VZ</t>
  </si>
  <si>
    <t>SPLINT*06,3/040**DIN   94*ST VZ</t>
  </si>
  <si>
    <t>SL40087203</t>
  </si>
  <si>
    <t>FORMROHR*120/060/05*EN 10210*S355J2H</t>
  </si>
  <si>
    <t>SL40087201</t>
  </si>
  <si>
    <t>ST-R NTL*152,4/12,5*DIN 2448**ST37.0</t>
  </si>
  <si>
    <t>RST GW*060*EN 10060*1.0038*S235JR</t>
  </si>
  <si>
    <t>DRUCKSCHEIBE DM065 S10</t>
  </si>
  <si>
    <t>SENKSCHR*M012/030*  *DIN 7991* 8.8 VZ</t>
  </si>
  <si>
    <t>SKT-MUTTER*M020*ISO 4032*8*A2K-VZ*LI</t>
  </si>
  <si>
    <t>SL40087502</t>
  </si>
  <si>
    <t>RST BL*080*EN 10278*1.0122*S235JRC</t>
  </si>
  <si>
    <t>SL40587506</t>
  </si>
  <si>
    <t>ST-R NTL*080,0/15,0*EN 10220*S355J2H</t>
  </si>
  <si>
    <t>SKT-SCHR*M048/320*ISO 4014*8.8*A2K-VZ</t>
  </si>
  <si>
    <t>SKT-MUTTER*M048*ISO 4032*8*A2K-VZ*LI</t>
  </si>
  <si>
    <t>SCHEIBE*050  * *DIN 1440*ST</t>
  </si>
  <si>
    <t>SKT-SCHR*M020/060*ISO 4017*8.8*A3K-VZ*SB</t>
  </si>
  <si>
    <t>SL40587615</t>
  </si>
  <si>
    <t>FORMROHR*160/080/05*EN 10219*S235JRH</t>
  </si>
  <si>
    <t>FORMROHR*120/080/05*EN 10219*S275J2H</t>
  </si>
  <si>
    <t>SL40587616</t>
  </si>
  <si>
    <t>Gittermatte 30x30x3
punktgeschweißtes Gitter in Matten verzinkt
Format: 2010x1020</t>
  </si>
  <si>
    <t>SL40087924</t>
  </si>
  <si>
    <t>FLACHR-SCHR*M012/040*DIN  603* 8.8 VZ</t>
  </si>
  <si>
    <t>SKT-MUTTER*M012*ISO 4032*12*BLANK</t>
  </si>
  <si>
    <t>SCHEIBE*010,5* *DIN  125*KST/PA</t>
  </si>
  <si>
    <t>SL6052558</t>
  </si>
  <si>
    <t>STEHLAGERGEHÄUSE*SNL 511-609 - SKF</t>
  </si>
  <si>
    <t>Induktiver Sensor:
NBB15-30GM50-A2-V1
Art.Nr. 4206100
Nachfolgetyp von NBB15-30GM60-A2-V1
d.h. Gewindelänge neu ca.50mm (anstatt 60mm)
Schaltelement: PNP
Schaltabstand: 15mm
Einbau: bündig
Betriebsspannung: 10...30VDC
Schutzart: IP67
Anschlussart: Gerätestecker M12x1, 4-polig
!!!BÜNDIG!!!</t>
  </si>
  <si>
    <t>KABELDOSE*M12*4 POL*V1-W-15M-PUR*P+F*
****
KABELDOSE V1-W-15M-PUR
Kabeldose, M12, 4-polig, PUR-Kabel
Polzahl: 4
Kabel: PUR
Länge:15m
Adern: 4x0,34mm²
Artikelnummer P+F: 195615</t>
  </si>
  <si>
    <t>SL6052557</t>
  </si>
  <si>
    <t>FÖRDERBAND PBB-C0500x010,0M</t>
  </si>
  <si>
    <t>DOMÓWIENIE 11.09.2026</t>
  </si>
  <si>
    <t>SLH12045</t>
  </si>
  <si>
    <t>FÖRDERGURT EP 400/3 4+2 Y ENDLOS
GURTLÄNGE: 21000 MM
GURTBREITE: 500mm
GURTQUALITÄT: Y (STANDARD-NORMQUALITÄT)</t>
  </si>
  <si>
    <t>SL10547942</t>
  </si>
  <si>
    <t>ANTRIEBSTROMMEL PBB-C0500 DM340 KH053</t>
  </si>
  <si>
    <t>SL40531703</t>
  </si>
  <si>
    <t>BLECH*030,00*1.0577+N*S355J2+N</t>
  </si>
  <si>
    <t>BLECH*004,00*1.0577+N*S355J2+N</t>
  </si>
  <si>
    <t>SL10547944</t>
  </si>
  <si>
    <t>ANTRIEBSWELLE DM050 L=1020 KH053</t>
  </si>
  <si>
    <t>012/08/090</t>
  </si>
  <si>
    <t>PASSFEDER*012/08/090*A *DIN 6885*</t>
  </si>
  <si>
    <t>SKT-SCHR*M016/065*ISO 4017*8.8*A2K-VZ</t>
  </si>
  <si>
    <t>SPANNHUELSE*ISB DIN5415
H311 (ZM)</t>
  </si>
  <si>
    <t>SL10653926</t>
  </si>
  <si>
    <t>RST BL*050*EN 10278*1.0577+N*S355J2+N*h9</t>
  </si>
  <si>
    <t>SL10523057</t>
  </si>
  <si>
    <t>RST GW*030*EN 10060*1.0038*S235JR</t>
  </si>
  <si>
    <t>SKT-MUTTER*M010*SS*ISO 7040*8*A2K-VZ</t>
  </si>
  <si>
    <t>SPANNSCHEIBE*10  *B*DIN 6796*FST VZ</t>
  </si>
  <si>
    <t>SL40035912</t>
  </si>
  <si>
    <t>ST-R NTL*070,0/08,0*EN 10220*S355J2H</t>
  </si>
  <si>
    <t>SL40035915</t>
  </si>
  <si>
    <t>SKT-SCHR*M016/120*ISO 4017*8.8*A2K-VZ</t>
  </si>
  <si>
    <t>SL10653935</t>
  </si>
  <si>
    <t>ABSTREIFER*REMACLEAN*HM-F2*BB0500*
Abstreifer REMACLEAN HM-F2 BB0500
inkl. Spannvorrichtung
Schabbreite SB=480
Rema Tip Top Art.Nr. 5783016</t>
  </si>
  <si>
    <t>SENKSCHR*M016/090*  *DIN 7991* 8.8 VZ</t>
  </si>
  <si>
    <t>SL106035 K</t>
  </si>
  <si>
    <t>220X220X800</t>
  </si>
  <si>
    <t>SPANNTROMMEL 220x 500    SNV085</t>
  </si>
  <si>
    <t>RST BL*050*EN 10278*1.0533*E295GC</t>
  </si>
  <si>
    <t>SL106039 K</t>
  </si>
  <si>
    <t>220X220X590</t>
  </si>
  <si>
    <t>TROMMEL 220x 590    SPANNSATZ 50/80</t>
  </si>
  <si>
    <t>ST-R NTL*219,1/06,3*DIN 2448**ST37.0</t>
  </si>
  <si>
    <t>SL105503 K</t>
  </si>
  <si>
    <t>207X207X25</t>
  </si>
  <si>
    <t>STEGBLECH FÜR TROMMEL Dm 220</t>
  </si>
  <si>
    <t>SLH34592</t>
  </si>
  <si>
    <t>STEHLAGERGEHÄUSE*SNV 85/SNL509, SKF
Neu: SE509V</t>
  </si>
  <si>
    <t>SL22209</t>
  </si>
  <si>
    <t>PENDELROLLENLAGER
22209.CK.C3.W33.SBM-3B (SKF)</t>
  </si>
  <si>
    <t>SLH01966</t>
  </si>
  <si>
    <t>SPANNHÜLSE*H 309</t>
  </si>
  <si>
    <t>SLH30688</t>
  </si>
  <si>
    <t>FESTRING*85/ 3,5 FRB</t>
  </si>
  <si>
    <t>SLH34590</t>
  </si>
  <si>
    <t>LAGERDECKEL*ASNH 509
DKV 085         SKF-LINGTOS</t>
  </si>
  <si>
    <t>SKT-SCHR*M012/060*ISO 4014*8.8*A3K-VZ*SB</t>
  </si>
  <si>
    <t>SLH34591</t>
  </si>
  <si>
    <t>ZWEILIPPENDICHTUNG* TXL 509</t>
  </si>
  <si>
    <t>SCHEIBE*013  * *DIN  125*MS</t>
  </si>
  <si>
    <t>VKT-SCHEIBE*14  **DIN  434*A2</t>
  </si>
  <si>
    <t>SCHEIBE*013,0*B*DIN 9021*ST VZ</t>
  </si>
  <si>
    <t>SKT-MUTTER*M024*SS*ISO 7040*8*A2K-VZ</t>
  </si>
  <si>
    <t>SCHEIBE*025  * *DIN  125*VZ</t>
  </si>
  <si>
    <t>G</t>
  </si>
  <si>
    <t>ST-R NTL*088,9/07,1*DIN 10220*1.0305</t>
  </si>
  <si>
    <t>L-STAHL*080/040/06*EN 10056*S235JR</t>
  </si>
  <si>
    <t>SKT-MUTTER*M010    *  *DIN  929*KL 8</t>
  </si>
  <si>
    <t>SKT-SCHR*M010/100*ISO 4017*8.8*A2K-VZ</t>
  </si>
  <si>
    <t>BLINDNIETMUTTER*M08 DM 0,5-3,0</t>
  </si>
  <si>
    <t>SCHEIBE*017  *B*DIN  125*A2</t>
  </si>
  <si>
    <t>GITTERMATTE*30/30/3*STAHL*BLANK
punktgeschweißtes Gitter in Matten blank</t>
  </si>
  <si>
    <t>GI-PLATTE*008*BLACK-STAR*60 SH*VKS</t>
  </si>
  <si>
    <t>GITTERMATTE*30/30/3*STAHL*BLANK</t>
  </si>
  <si>
    <t>SKT-MUTTER*M010*ISO 4035*4*A2K-VZ</t>
  </si>
  <si>
    <t>SKT-SCHR*M016/030*ISO 4017*8.8*A3K-VZ*SB</t>
  </si>
  <si>
    <t>SKT-MUTTER*M012*SS*ISO 7040*8*A2K-VZ</t>
  </si>
  <si>
    <t>FEDERRING*012  *B*DIN  127*VZ</t>
  </si>
  <si>
    <t>SKT-SCHR*M020/045*ISO 4017*8.8*A3K-VZ*SB</t>
  </si>
  <si>
    <t>SKT-MUTTER*M020*SS*ISO 7040*8*A2K-VZ</t>
  </si>
  <si>
    <t>SKT-SCHR*M006/025*ISO 4017*8.8*A2K-VZ</t>
  </si>
  <si>
    <t>SCHEIBE*006,4* *DIN EN ISO 7089*A4</t>
  </si>
  <si>
    <t>SL10547967</t>
  </si>
  <si>
    <t>SL405822122</t>
  </si>
  <si>
    <t>SL6010416</t>
  </si>
  <si>
    <t>SCHEIBE*013,0*A*DIN 9021*ST VZ</t>
  </si>
  <si>
    <t>SL10653988</t>
  </si>
  <si>
    <t>SL10653989</t>
  </si>
  <si>
    <t>SL10653990</t>
  </si>
  <si>
    <t>SL10653991</t>
  </si>
  <si>
    <t>SL10653992</t>
  </si>
  <si>
    <t>SL10653993</t>
  </si>
  <si>
    <t>SL10653994</t>
  </si>
  <si>
    <t>SL10653995</t>
  </si>
  <si>
    <t>SL10653996</t>
  </si>
  <si>
    <t>SL10653997</t>
  </si>
  <si>
    <t>SL10653999</t>
  </si>
  <si>
    <t>SL10654000</t>
  </si>
  <si>
    <t>SL10653964</t>
  </si>
  <si>
    <t>GI-PLATTE*020*RED-STAR*40 SH*</t>
  </si>
  <si>
    <t>RST GW*024*EN 10060*1.0038*S235JR</t>
  </si>
  <si>
    <t>KARABINERHAKEN* 80X08
FEUERWEHR-KARABINER  80X08
DIN 5299, Form C, verzinkt
Art.Nr.fwk80x8</t>
  </si>
  <si>
    <t>WERKSNORMKETTE*DM6MM FLACH PARALLEL
Firma Pewag:
7001987(A89627)
B-GLIEDERKETTE WN-G GZN 20M B 6X32</t>
  </si>
  <si>
    <t>SCHAEKEL DIN82101/A GR.0,25 verzinkt
Tragfähigkeit: 250kg
Gewinde M8</t>
  </si>
  <si>
    <t>FLACHR-SCHR*M012/050*MU*DIN  603* 4.6</t>
  </si>
  <si>
    <t>SKT-MUTTER*M012*V*ISO 7042*8*A3K-VZ*SB</t>
  </si>
  <si>
    <t>RINGSCHR*M012**DIN  580*5.6*VERZINKT</t>
  </si>
  <si>
    <t>TRAGROLLEN 89/315 ACHSE20 SW15
GURTEC-rot</t>
  </si>
  <si>
    <t>SEITLICHE FUEHRUNGSROLLE
TYPE:GST 63,5/M20/100
FORM B, GURTEC-rot</t>
  </si>
  <si>
    <t>SCHAUKELHAKEN*ZU HEN001 M10
Deckenhaken verz. gewunden
Nr. 18E, 10x140 mm</t>
  </si>
  <si>
    <t>ZYL-SCHR*M05  /045* *DIN   84* 4.6 VZ</t>
  </si>
  <si>
    <t>SCHEIBE*005,3*A*DIN  125*ST VZ</t>
  </si>
  <si>
    <t>1129/SL6052542 - MONTAŻ</t>
  </si>
  <si>
    <t>1129/SL6052542 - WYSYŁKA</t>
  </si>
  <si>
    <t>1129/ - SL6052557 MONTAŻ</t>
  </si>
  <si>
    <t>1129/ - SL6052557 WYSYŁKA</t>
  </si>
  <si>
    <t>1129/ - SL6052558 MONTAŻ</t>
  </si>
  <si>
    <t>1129/ - SL6052558 WYSYŁKA</t>
  </si>
  <si>
    <t>1129/ - SL6053718 MONTAŻ</t>
  </si>
  <si>
    <t>1129/ - SL6053718 WYSYŁKA</t>
  </si>
  <si>
    <t>1129/ - SL6053719 MONTAŻ</t>
  </si>
  <si>
    <t>1129/ - SL6053719 WYSYŁKA</t>
  </si>
  <si>
    <t>1129/ - SL6053720 MONTAŻ</t>
  </si>
  <si>
    <t>ELEMENT</t>
  </si>
  <si>
    <t>ILOŚĆ</t>
  </si>
  <si>
    <t>2x2m</t>
  </si>
  <si>
    <t>POZYCJA</t>
  </si>
  <si>
    <t>RYSUNEK</t>
  </si>
  <si>
    <t>DŁUGOŚĆ</t>
  </si>
  <si>
    <t>DO ZAKUPU</t>
  </si>
  <si>
    <t>24x12m</t>
  </si>
  <si>
    <t>uwzględnione profile na wszystkie QRF</t>
  </si>
  <si>
    <t>48x12m</t>
  </si>
  <si>
    <t>OK</t>
  </si>
  <si>
    <t>12m</t>
  </si>
  <si>
    <t>2x12m</t>
  </si>
  <si>
    <t>6m</t>
  </si>
  <si>
    <t>11x12m</t>
  </si>
  <si>
    <t>20x12m</t>
  </si>
  <si>
    <t>Me</t>
  </si>
  <si>
    <t>Me_1</t>
  </si>
  <si>
    <t>Abmess_2</t>
  </si>
  <si>
    <t>POS. 30, 180, 181, 182, 183</t>
  </si>
  <si>
    <t>DO WERYFIKACJI</t>
  </si>
  <si>
    <t>22szt dodatkowo</t>
  </si>
  <si>
    <t xml:space="preserve">Wysłać do P.Jacka </t>
  </si>
  <si>
    <t>2szt dodać</t>
  </si>
  <si>
    <t>OB-ROLLE*   89/20   X 250  SW15 ROT</t>
  </si>
  <si>
    <t xml:space="preserve">SLH01987   01 </t>
  </si>
  <si>
    <t>OB-ROLLE  63/20    X 750  SW15ENDP.2x3+3STÜRI108  GURTEC-rot</t>
  </si>
  <si>
    <t>SLH02004    01</t>
  </si>
  <si>
    <t>AUFGABEROLLE*DA89 RD 63/20X250 SW15 ROT</t>
  </si>
  <si>
    <t xml:space="preserve">SLH02067   01 </t>
  </si>
  <si>
    <t>Materiał</t>
  </si>
  <si>
    <t>ME.1</t>
  </si>
  <si>
    <t>Unnamed: 21</t>
  </si>
  <si>
    <t>Unnamed: 24</t>
  </si>
  <si>
    <t>Unnamed: 31</t>
  </si>
  <si>
    <t>NAZWA</t>
  </si>
  <si>
    <t>Gięcie-AI</t>
  </si>
  <si>
    <t>AI-pewność</t>
  </si>
  <si>
    <t>AI-dowody</t>
  </si>
  <si>
    <t>AI-wątpliwości</t>
  </si>
  <si>
    <t>AI-rysunek</t>
  </si>
  <si>
    <t>Gięcie-CZŁOWIEK</t>
  </si>
  <si>
    <t>GS</t>
  </si>
  <si>
    <t>P</t>
  </si>
  <si>
    <t>Z BAZY</t>
  </si>
  <si>
    <t>MG</t>
  </si>
  <si>
    <t>Z BAZY P+L</t>
  </si>
  <si>
    <t>giecie_AI</t>
  </si>
  <si>
    <t>indeks_AI</t>
  </si>
  <si>
    <t>NAZWA_docelowa</t>
  </si>
  <si>
    <t>12_S235_SL40033136_p1_1st_G_1129_</t>
  </si>
  <si>
    <t>8_S235_SL40033947_p1_2st__1129_</t>
  </si>
  <si>
    <t>12_S235_SL40034102_p3_1st_S_1129_</t>
  </si>
  <si>
    <t>12_S235_SL40034102_p10_1st_S_1129_</t>
  </si>
  <si>
    <t>12_S235_SL40034102_p11_1st_S_1129_</t>
  </si>
  <si>
    <t>1</t>
  </si>
  <si>
    <t>12_S235_SL40034102_p3_1st_S_1129_1</t>
  </si>
  <si>
    <t>12_S235_SL40034102_p10_1st_S_1129_1</t>
  </si>
  <si>
    <t>CZ1-6FB</t>
  </si>
  <si>
    <t>CZESC</t>
  </si>
  <si>
    <t>ZAPASOWA_NAZWA_CZ1</t>
  </si>
  <si>
    <t>5_S235_SL40034102_p2_1st_GS_1129_L</t>
  </si>
  <si>
    <t>12_S235_SL40034102_p5_1st_GS_1129_L</t>
  </si>
  <si>
    <t>12_S235_SL40034102_p7_1st_GS_1129_L</t>
  </si>
  <si>
    <t>5_S235_SL40034102_p9_1st_GS_1129_L</t>
  </si>
  <si>
    <t>5_S235_SL40034102_p1_1st_GS_1129_P</t>
  </si>
  <si>
    <t>12_S235_SL40034102_p4_1st_GS_1129_P</t>
  </si>
  <si>
    <t>12_S235_SL40034102_p6_1st_GS_1129_P</t>
  </si>
  <si>
    <t>5_S235_SL40034102_p8_1st_GS_1129_P</t>
  </si>
  <si>
    <t>Giecie_CZ2</t>
  </si>
  <si>
    <t>zrodlo_technologii</t>
  </si>
  <si>
    <t>uwaga_tech</t>
  </si>
  <si>
    <t>indeks_CZ2</t>
  </si>
  <si>
    <t>NAZWA_teraz</t>
  </si>
  <si>
    <t>NAZWA_po_indeksie</t>
  </si>
  <si>
    <t>status_CZ2</t>
  </si>
  <si>
    <t>strona_z_propozycji</t>
  </si>
  <si>
    <t>cz1 ZAMROZONE - nie ruszam</t>
  </si>
  <si>
    <t>INDEKS_PL_CZ2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</si>
</sst>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2"/>
      <color theme="0" tint="-4.9989318521683403E-2"/>
      <name val="Calibri"/>
      <family val="2"/>
      <charset val="238"/>
    </font>
    <font>
      <b/>
      <sz val="11"/>
      <color rgb="FFFF0000"/>
      <name val="BankGothic Lt BT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1"/>
      <name val="Calibri"/>
      <family val="2"/>
      <charset val="238"/>
    </font>
    <font>
      <sz val="11"/>
      <color theme="1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rgb="FFFF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</font>
    <font>
      <sz val="11"/>
      <name val="Calibri"/>
      <family val="2"/>
      <charset val="238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2"/>
      <name val="Calibri"/>
      <family val="2"/>
      <charset val="238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D1D1D1"/>
        <bgColor rgb="FFD1D1D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medium">
        <color rgb="FF000000"/>
      </top>
      <bottom style="hair">
        <color indexed="64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 style="hair">
        <color indexed="64"/>
      </bottom>
      <diagonal/>
    </border>
    <border>
      <left/>
      <right style="hair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6"/>
  </cellStyleXfs>
  <cellXfs count="85">
    <xf numFmtId="0" fontId="0" fillId="0" borderId="0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5" borderId="5" xfId="0" applyFont="1" applyFill="1" applyBorder="1" applyAlignment="1">
      <alignment horizontal="right" vertical="center"/>
    </xf>
    <xf numFmtId="0" fontId="5" fillId="6" borderId="7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7" borderId="8" xfId="0" applyFont="1" applyFill="1" applyBorder="1" applyAlignment="1">
      <alignment vertical="center"/>
    </xf>
    <xf numFmtId="0" fontId="4" fillId="7" borderId="7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6" xfId="0" applyFont="1" applyAlignment="1">
      <alignment vertical="center"/>
    </xf>
    <xf numFmtId="0" fontId="5" fillId="0" borderId="7" xfId="0" applyFont="1" applyBorder="1" applyAlignment="1">
      <alignment vertical="center" wrapText="1"/>
    </xf>
    <xf numFmtId="0" fontId="7" fillId="8" borderId="9" xfId="0" applyFont="1" applyFill="1" applyBorder="1"/>
    <xf numFmtId="0" fontId="0" fillId="0" borderId="9" xfId="0" applyBorder="1"/>
    <xf numFmtId="0" fontId="7" fillId="9" borderId="10" xfId="0" applyFont="1" applyFill="1" applyBorder="1"/>
    <xf numFmtId="0" fontId="0" fillId="0" borderId="10" xfId="0" applyBorder="1"/>
    <xf numFmtId="0" fontId="7" fillId="8" borderId="10" xfId="0" applyFont="1" applyFill="1" applyBorder="1"/>
    <xf numFmtId="0" fontId="7" fillId="8" borderId="9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0" fontId="7" fillId="8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8" borderId="10" xfId="0" applyFont="1" applyFill="1" applyBorder="1" applyAlignment="1">
      <alignment wrapText="1"/>
    </xf>
    <xf numFmtId="0" fontId="7" fillId="8" borderId="10" xfId="0" applyFont="1" applyFill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9" fillId="8" borderId="10" xfId="0" applyFont="1" applyFill="1" applyBorder="1" applyAlignment="1">
      <alignment wrapText="1"/>
    </xf>
    <xf numFmtId="0" fontId="9" fillId="8" borderId="10" xfId="0" applyFont="1" applyFill="1" applyBorder="1" applyAlignment="1">
      <alignment horizontal="center" vertical="center"/>
    </xf>
    <xf numFmtId="0" fontId="0" fillId="0" borderId="6" xfId="0"/>
    <xf numFmtId="0" fontId="10" fillId="0" borderId="6" xfId="0" applyFont="1"/>
    <xf numFmtId="0" fontId="11" fillId="0" borderId="10" xfId="0" applyFont="1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0" fillId="0" borderId="0" xfId="0" applyFont="1" applyBorder="1"/>
    <xf numFmtId="0" fontId="0" fillId="0" borderId="6" xfId="0" applyAlignment="1">
      <alignment wrapText="1"/>
    </xf>
    <xf numFmtId="0" fontId="0" fillId="0" borderId="6" xfId="0" applyAlignment="1">
      <alignment horizontal="center" vertical="center"/>
    </xf>
    <xf numFmtId="0" fontId="2" fillId="2" borderId="12" xfId="0" applyFont="1" applyFill="1" applyBorder="1"/>
    <xf numFmtId="0" fontId="4" fillId="4" borderId="13" xfId="0" applyFont="1" applyFill="1" applyBorder="1" applyAlignment="1">
      <alignment vertical="center"/>
    </xf>
    <xf numFmtId="0" fontId="5" fillId="6" borderId="14" xfId="0" applyFont="1" applyFill="1" applyBorder="1" applyAlignment="1">
      <alignment vertical="center"/>
    </xf>
    <xf numFmtId="0" fontId="6" fillId="7" borderId="14" xfId="0" applyFont="1" applyFill="1" applyBorder="1" applyAlignment="1">
      <alignment vertical="center"/>
    </xf>
    <xf numFmtId="0" fontId="4" fillId="7" borderId="14" xfId="0" applyFont="1" applyFill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2" fillId="0" borderId="15" xfId="0" applyFont="1" applyBorder="1"/>
    <xf numFmtId="0" fontId="13" fillId="0" borderId="15" xfId="0" applyFont="1" applyBorder="1" applyAlignment="1">
      <alignment vertical="center"/>
    </xf>
    <xf numFmtId="0" fontId="14" fillId="0" borderId="15" xfId="0" applyFont="1" applyBorder="1"/>
    <xf numFmtId="0" fontId="0" fillId="0" borderId="11" xfId="0" applyBorder="1"/>
    <xf numFmtId="0" fontId="8" fillId="0" borderId="10" xfId="0" applyFont="1" applyBorder="1" applyAlignment="1">
      <alignment vertical="center" wrapText="1"/>
    </xf>
    <xf numFmtId="0" fontId="10" fillId="0" borderId="6" xfId="0" applyFont="1" applyAlignment="1">
      <alignment wrapText="1"/>
    </xf>
    <xf numFmtId="0" fontId="0" fillId="0" borderId="10" xfId="0" applyBorder="1" applyAlignment="1">
      <alignment horizontal="left"/>
    </xf>
    <xf numFmtId="0" fontId="15" fillId="0" borderId="6" xfId="0" applyFont="1" applyAlignment="1">
      <alignment wrapText="1"/>
    </xf>
    <xf numFmtId="0" fontId="15" fillId="10" borderId="10" xfId="0" applyFont="1" applyFill="1" applyBorder="1" applyAlignment="1">
      <alignment wrapText="1"/>
    </xf>
    <xf numFmtId="0" fontId="0" fillId="0" borderId="10" xfId="0" applyBorder="1" applyAlignment="1">
      <alignment horizontal="left" wrapText="1"/>
    </xf>
    <xf numFmtId="0" fontId="5" fillId="0" borderId="10" xfId="0" applyFont="1" applyBorder="1" applyAlignment="1">
      <alignment vertical="center"/>
    </xf>
    <xf numFmtId="0" fontId="0" fillId="0" borderId="6" xfId="0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7" fillId="10" borderId="10" xfId="0" applyFont="1" applyFill="1" applyBorder="1"/>
    <xf numFmtId="0" fontId="16" fillId="10" borderId="10" xfId="0" applyFont="1" applyFill="1" applyBorder="1"/>
    <xf numFmtId="0" fontId="15" fillId="0" borderId="6" xfId="0" applyFont="1" applyAlignment="1">
      <alignment horizontal="center"/>
    </xf>
    <xf numFmtId="0" fontId="17" fillId="10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8" fillId="0" borderId="6" xfId="0" applyFont="1"/>
    <xf numFmtId="0" fontId="0" fillId="5" borderId="0" xfId="0" applyFill="1" applyBorder="1"/>
    <xf numFmtId="0" fontId="5" fillId="5" borderId="6" xfId="0" applyFont="1" applyFill="1" applyAlignment="1">
      <alignment vertical="center"/>
    </xf>
    <xf numFmtId="0" fontId="5" fillId="6" borderId="6" xfId="0" applyFont="1" applyFill="1" applyAlignment="1">
      <alignment vertical="center"/>
    </xf>
    <xf numFmtId="0" fontId="6" fillId="0" borderId="6" xfId="0" applyFont="1" applyAlignment="1">
      <alignment vertical="center"/>
    </xf>
    <xf numFmtId="0" fontId="7" fillId="11" borderId="6" xfId="0" applyFont="1" applyFill="1"/>
    <xf numFmtId="0" fontId="18" fillId="11" borderId="6" xfId="0" applyFont="1" applyFill="1"/>
  </cellXfs>
  <cellStyles count="1">
    <cellStyle name="Normalny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I56"/>
  <sheetViews>
    <sheetView tabSelected="1" zoomScale="68" zoomScaleNormal="68" workbookViewId="0">
      <pane ySplit="1" topLeftCell="A33" activePane="bottomLeft" state="frozen"/>
      <selection pane="bottomLeft" activeCell="E56" sqref="E33:E56"/>
    </sheetView>
  </sheetViews>
  <sheetFormatPr defaultRowHeight="14.4"/>
  <cols>
    <col min="1" max="1" width="6.6640625" style="59" bestFit="1" customWidth="1"/>
    <col min="2" max="2" width="8.44140625" style="39" bestFit="1" customWidth="1"/>
    <col min="3" max="3" width="8" bestFit="1" customWidth="1"/>
    <col min="4" max="4" width="15" customWidth="1"/>
    <col min="5" max="5" width="7.44140625" bestFit="1" customWidth="1"/>
    <col min="6" max="6" width="10" customWidth="1"/>
    <col min="7" max="7" width="6.44140625" bestFit="1" customWidth="1"/>
    <col min="8" max="8" width="17.44140625" bestFit="1" customWidth="1"/>
    <col min="9" max="9" width="6.44140625" bestFit="1" customWidth="1"/>
    <col min="10" max="10" width="12.109375" bestFit="1" customWidth="1"/>
    <col min="11" max="11" width="54.109375" bestFit="1" customWidth="1"/>
    <col min="12" max="12" width="10.88671875" bestFit="1" customWidth="1"/>
    <col min="13" max="13" width="6.5546875" bestFit="1" customWidth="1"/>
    <col min="14" max="14" width="6.88671875" bestFit="1" customWidth="1"/>
    <col min="15" max="15" width="31.109375" hidden="1" customWidth="1"/>
    <col min="16" max="16" width="7.109375" hidden="1" customWidth="1"/>
    <col min="17" max="17" width="10.109375" hidden="1" customWidth="1"/>
    <col min="18" max="18" width="9.109375" hidden="1" customWidth="1"/>
    <col min="19" max="19" width="4.5546875" hidden="1" customWidth="1"/>
    <col min="20" max="20" width="6.44140625" hidden="1" customWidth="1"/>
    <col min="21" max="21" width="4.44140625" hidden="1" customWidth="1"/>
    <col min="22" max="22" width="10" hidden="1" customWidth="1"/>
    <col min="23" max="23" width="12.109375" bestFit="1" customWidth="1"/>
    <col min="24" max="24" width="14.88671875" customWidth="1"/>
    <col min="25" max="25" width="10" customWidth="1"/>
    <col min="26" max="26" width="13.44140625" customWidth="1"/>
    <col min="27" max="27" width="18.6640625" customWidth="1"/>
    <col min="28" max="28" width="9.88671875" customWidth="1"/>
    <col min="29" max="29" width="18.44140625" customWidth="1"/>
    <col min="30" max="30" width="29.5546875" bestFit="1" customWidth="1"/>
    <col min="31" max="31" width="7.6640625" bestFit="1" customWidth="1"/>
    <col min="32" max="32" width="10" customWidth="1"/>
    <col min="33" max="33" width="16.44140625" bestFit="1" customWidth="1"/>
    <col min="34" max="34" width="20.44140625" bestFit="1" customWidth="1"/>
    <col min="35" max="35" width="11.33203125" bestFit="1" customWidth="1"/>
    <col min="36" max="36" width="41.33203125" bestFit="1" customWidth="1"/>
    <col min="37" max="37" width="51.109375" bestFit="1" customWidth="1"/>
    <col min="38" max="38" width="36.109375" style="39" bestFit="1" customWidth="1"/>
    <col min="39" max="39" width="7.77734375" customWidth="1"/>
    <col min="40" max="40" width="8.6640625" bestFit="1" customWidth="1"/>
    <col min="41" max="41" width="14.5546875" bestFit="1" customWidth="1"/>
    <col min="42" max="42" width="21.5546875" bestFit="1" customWidth="1"/>
    <col min="43" max="43" width="16.77734375" bestFit="1" customWidth="1"/>
    <col min="44" max="44" width="39" bestFit="1" customWidth="1"/>
    <col min="46" max="46" width="8.88671875" customWidth="1"/>
    <col min="90" max="90" width="151.21875" bestFit="1" customWidth="1"/>
    <col min="92" max="92" width="11.88671875" style="39" bestFit="1" customWidth="1"/>
    <col min="93" max="93" width="15.77734375" style="39" bestFit="1" customWidth="1"/>
    <col min="94" max="94" width="255.77734375" style="39" bestFit="1" customWidth="1"/>
    <col min="95" max="95" width="70" style="39" customWidth="1"/>
    <col min="96" max="96" width="26" style="39" customWidth="1"/>
    <col min="97" max="97" width="16" style="39" customWidth="1"/>
    <col min="98" max="99" width="10" style="39" customWidth="1"/>
    <col min="100" max="100" width="42" style="39" customWidth="1"/>
    <col min="102" max="103" width="8.6640625" style="39" bestFit="1" customWidth="1"/>
    <col min="104" max="104" width="14.5546875" style="39" bestFit="1" customWidth="1"/>
    <col min="105" max="105" width="12" style="39" customWidth="1"/>
    <col min="106" max="106" width="26" style="39" customWidth="1"/>
    <col min="107" max="107" width="40" style="39" customWidth="1"/>
    <col min="108" max="108" width="11" style="39" customWidth="1"/>
    <col min="109" max="110" width="42" style="39" customWidth="1"/>
    <col min="111" max="111" width="30" style="39" customWidth="1"/>
    <col min="112" max="112" width="18" style="39" customWidth="1"/>
    <col min="113" max="113" width="16" style="39" customWidth="1"/>
  </cols>
  <sheetData>
    <row r="1" spans="1:113" ht="15.75" customHeight="1">
      <c r="A1" s="57" t="s">
        <v>0</v>
      </c>
      <c r="B1" s="5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  <c r="W1" s="2" t="s">
        <v>20</v>
      </c>
      <c r="X1" s="3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s="39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783</v>
      </c>
      <c r="BV1" t="s">
        <v>784</v>
      </c>
      <c r="BX1" t="s">
        <v>9</v>
      </c>
      <c r="CH1" t="s">
        <v>40</v>
      </c>
      <c r="CI1" t="s">
        <v>41</v>
      </c>
      <c r="CJ1" t="s">
        <v>42</v>
      </c>
      <c r="CK1" t="s">
        <v>43</v>
      </c>
      <c r="CL1" t="s">
        <v>44</v>
      </c>
      <c r="CN1" s="78" t="s">
        <v>760</v>
      </c>
      <c r="CO1" s="78" t="s">
        <v>761</v>
      </c>
      <c r="CP1" s="78" t="s">
        <v>762</v>
      </c>
      <c r="CQ1" s="78" t="s">
        <v>763</v>
      </c>
      <c r="CR1" s="78" t="s">
        <v>764</v>
      </c>
      <c r="CS1" s="78" t="s">
        <v>765</v>
      </c>
      <c r="CT1" s="83" t="s">
        <v>771</v>
      </c>
      <c r="CU1" s="83" t="s">
        <v>772</v>
      </c>
      <c r="CV1" s="83" t="s">
        <v>773</v>
      </c>
      <c r="CX1" s="39" t="s">
        <v>34</v>
      </c>
      <c r="CY1" s="39" t="s">
        <v>35</v>
      </c>
      <c r="CZ1" s="39" t="s">
        <v>36</v>
      </c>
      <c r="DA1" s="84" t="s">
        <v>793</v>
      </c>
      <c r="DB1" s="84" t="s">
        <v>794</v>
      </c>
      <c r="DC1" s="84" t="s">
        <v>795</v>
      </c>
      <c r="DD1" s="84" t="s">
        <v>796</v>
      </c>
      <c r="DE1" s="84" t="s">
        <v>797</v>
      </c>
      <c r="DF1" s="84" t="s">
        <v>798</v>
      </c>
      <c r="DG1" s="84" t="s">
        <v>799</v>
      </c>
      <c r="DH1" s="84" t="s">
        <v>800</v>
      </c>
      <c r="DI1" s="83" t="s">
        <v>802</v>
      </c>
    </row>
    <row r="2" spans="1:113" hidden="1">
      <c r="A2" s="58" t="s">
        <v>45</v>
      </c>
      <c r="B2" s="51" t="s">
        <v>46</v>
      </c>
      <c r="C2" s="4">
        <v>10</v>
      </c>
      <c r="D2" s="4" t="s">
        <v>47</v>
      </c>
      <c r="E2" s="4">
        <v>1</v>
      </c>
      <c r="F2" s="4"/>
      <c r="G2" s="4" t="s">
        <v>48</v>
      </c>
      <c r="H2" s="4"/>
      <c r="I2" s="4"/>
      <c r="J2" s="4"/>
      <c r="K2" s="4" t="s">
        <v>49</v>
      </c>
      <c r="L2" s="4" t="s">
        <v>47</v>
      </c>
      <c r="M2" s="4">
        <v>0</v>
      </c>
      <c r="N2" s="4"/>
      <c r="O2" s="5"/>
      <c r="P2" s="5"/>
      <c r="Q2" s="5"/>
      <c r="R2" s="5"/>
      <c r="S2" s="5" t="s">
        <v>50</v>
      </c>
      <c r="T2" s="5"/>
      <c r="U2" s="5" t="s">
        <v>51</v>
      </c>
      <c r="V2" s="5"/>
      <c r="W2" s="6" t="s">
        <v>52</v>
      </c>
      <c r="X2" s="80" t="s">
        <v>53</v>
      </c>
      <c r="Z2" t="s">
        <v>54</v>
      </c>
      <c r="AA2" t="s">
        <v>49</v>
      </c>
      <c r="AB2" t="s">
        <v>47</v>
      </c>
      <c r="AH2" t="s">
        <v>55</v>
      </c>
      <c r="AI2" t="s">
        <v>56</v>
      </c>
      <c r="AP2" t="s">
        <v>57</v>
      </c>
      <c r="AS2" t="s">
        <v>782</v>
      </c>
      <c r="BX2" t="s">
        <v>49</v>
      </c>
    </row>
    <row r="3" spans="1:113" hidden="1">
      <c r="A3" s="58" t="s">
        <v>58</v>
      </c>
      <c r="B3" s="52" t="s">
        <v>59</v>
      </c>
      <c r="C3" s="7">
        <v>1</v>
      </c>
      <c r="D3" s="7">
        <v>8078400</v>
      </c>
      <c r="E3" s="7">
        <v>1</v>
      </c>
      <c r="F3" s="7"/>
      <c r="G3" s="7" t="s">
        <v>48</v>
      </c>
      <c r="H3" s="7"/>
      <c r="I3" s="7"/>
      <c r="J3" s="7"/>
      <c r="K3" s="7" t="s">
        <v>60</v>
      </c>
      <c r="L3" s="7" t="s">
        <v>47</v>
      </c>
      <c r="M3" s="7"/>
      <c r="N3" s="7"/>
      <c r="O3" s="7"/>
      <c r="P3" s="7"/>
      <c r="Q3" s="7"/>
      <c r="R3" s="7"/>
      <c r="S3" s="7" t="s">
        <v>50</v>
      </c>
      <c r="T3" s="7"/>
      <c r="U3" s="7" t="s">
        <v>17</v>
      </c>
      <c r="V3" s="7"/>
      <c r="W3" s="8">
        <v>156</v>
      </c>
      <c r="X3" s="81" t="s">
        <v>61</v>
      </c>
      <c r="Z3" t="s">
        <v>54</v>
      </c>
      <c r="AA3" t="s">
        <v>49</v>
      </c>
      <c r="AB3" t="s">
        <v>47</v>
      </c>
      <c r="AH3" t="s">
        <v>55</v>
      </c>
      <c r="AI3" t="s">
        <v>56</v>
      </c>
      <c r="AP3" t="s">
        <v>57</v>
      </c>
      <c r="AS3" t="s">
        <v>782</v>
      </c>
      <c r="BX3" t="s">
        <v>62</v>
      </c>
      <c r="BY3" t="s">
        <v>63</v>
      </c>
      <c r="BZ3" t="s">
        <v>64</v>
      </c>
      <c r="CA3" t="s">
        <v>65</v>
      </c>
    </row>
    <row r="4" spans="1:113" hidden="1">
      <c r="A4" s="58" t="s">
        <v>66</v>
      </c>
      <c r="B4" s="53" t="s">
        <v>59</v>
      </c>
      <c r="C4" s="9">
        <v>2</v>
      </c>
      <c r="D4" s="9">
        <v>5208300</v>
      </c>
      <c r="E4" s="9">
        <v>1</v>
      </c>
      <c r="F4" s="9"/>
      <c r="G4" s="9" t="s">
        <v>48</v>
      </c>
      <c r="H4" s="9"/>
      <c r="I4" s="9"/>
      <c r="J4" s="9"/>
      <c r="K4" s="9" t="s">
        <v>67</v>
      </c>
      <c r="L4" s="9" t="s">
        <v>47</v>
      </c>
      <c r="M4" s="9"/>
      <c r="N4" s="9"/>
      <c r="O4" s="10"/>
      <c r="P4" s="10"/>
      <c r="Q4" s="10"/>
      <c r="R4" s="10"/>
      <c r="S4" s="10" t="s">
        <v>50</v>
      </c>
      <c r="T4" s="10"/>
      <c r="U4" s="10" t="s">
        <v>17</v>
      </c>
      <c r="V4" s="10"/>
      <c r="W4" s="11" t="s">
        <v>68</v>
      </c>
      <c r="X4" s="82"/>
      <c r="Z4" t="s">
        <v>69</v>
      </c>
      <c r="AA4" t="s">
        <v>49</v>
      </c>
      <c r="AB4" t="s">
        <v>47</v>
      </c>
      <c r="AH4" t="s">
        <v>55</v>
      </c>
      <c r="AI4" t="s">
        <v>56</v>
      </c>
      <c r="AP4" t="s">
        <v>57</v>
      </c>
      <c r="AS4" t="s">
        <v>782</v>
      </c>
      <c r="BX4" t="s">
        <v>70</v>
      </c>
      <c r="BY4" t="s">
        <v>71</v>
      </c>
      <c r="BZ4" t="s">
        <v>72</v>
      </c>
    </row>
    <row r="5" spans="1:113" hidden="1">
      <c r="A5" s="58" t="s">
        <v>73</v>
      </c>
      <c r="B5" s="54" t="s">
        <v>59</v>
      </c>
      <c r="C5" s="12">
        <v>3</v>
      </c>
      <c r="D5" s="12" t="s">
        <v>74</v>
      </c>
      <c r="E5" s="12">
        <v>1</v>
      </c>
      <c r="F5" s="12"/>
      <c r="G5" s="12" t="s">
        <v>48</v>
      </c>
      <c r="H5" s="12"/>
      <c r="I5" s="12"/>
      <c r="J5" s="12"/>
      <c r="K5" s="12" t="s">
        <v>75</v>
      </c>
      <c r="L5" s="12" t="s">
        <v>74</v>
      </c>
      <c r="M5" s="12">
        <v>2</v>
      </c>
      <c r="N5" s="12"/>
      <c r="O5" s="13"/>
      <c r="P5" s="13"/>
      <c r="Q5" s="13"/>
      <c r="R5" s="13"/>
      <c r="S5" s="13"/>
      <c r="T5" s="13"/>
      <c r="U5" s="13" t="s">
        <v>51</v>
      </c>
      <c r="V5" s="13"/>
      <c r="W5" s="14">
        <v>420.03300000000002</v>
      </c>
      <c r="Z5" t="s">
        <v>76</v>
      </c>
      <c r="AA5" t="s">
        <v>49</v>
      </c>
      <c r="AB5" t="s">
        <v>47</v>
      </c>
      <c r="AC5" t="s">
        <v>77</v>
      </c>
      <c r="AH5" t="s">
        <v>55</v>
      </c>
      <c r="AI5" t="s">
        <v>56</v>
      </c>
      <c r="AP5" t="s">
        <v>57</v>
      </c>
      <c r="AS5" t="s">
        <v>782</v>
      </c>
      <c r="BX5" t="s">
        <v>75</v>
      </c>
    </row>
    <row r="6" spans="1:113" hidden="1">
      <c r="A6" s="58" t="s">
        <v>78</v>
      </c>
      <c r="B6" s="55" t="s">
        <v>79</v>
      </c>
      <c r="C6" s="15">
        <v>1</v>
      </c>
      <c r="D6" s="15" t="s">
        <v>80</v>
      </c>
      <c r="E6" s="15">
        <v>1</v>
      </c>
      <c r="F6" s="15"/>
      <c r="G6" s="15" t="s">
        <v>48</v>
      </c>
      <c r="H6" s="15"/>
      <c r="I6" s="15"/>
      <c r="J6" s="15"/>
      <c r="K6" s="15" t="s">
        <v>81</v>
      </c>
      <c r="L6" s="15" t="s">
        <v>80</v>
      </c>
      <c r="M6" s="15">
        <v>2</v>
      </c>
      <c r="N6" s="15">
        <v>0</v>
      </c>
      <c r="O6" s="13"/>
      <c r="P6" s="13"/>
      <c r="Q6" s="13"/>
      <c r="R6" s="13"/>
      <c r="S6" s="13" t="s">
        <v>50</v>
      </c>
      <c r="T6" s="13"/>
      <c r="U6" s="13" t="s">
        <v>51</v>
      </c>
      <c r="V6" s="13"/>
      <c r="W6" s="16">
        <v>160.333</v>
      </c>
      <c r="Z6" t="s">
        <v>82</v>
      </c>
      <c r="AA6" t="s">
        <v>49</v>
      </c>
      <c r="AB6" t="s">
        <v>47</v>
      </c>
      <c r="AC6" t="s">
        <v>77</v>
      </c>
      <c r="AD6" t="s">
        <v>83</v>
      </c>
      <c r="AE6" t="s">
        <v>84</v>
      </c>
      <c r="AH6" t="s">
        <v>55</v>
      </c>
      <c r="AI6" t="s">
        <v>56</v>
      </c>
      <c r="AP6" t="s">
        <v>57</v>
      </c>
      <c r="AS6" t="s">
        <v>782</v>
      </c>
      <c r="BX6" t="s">
        <v>81</v>
      </c>
    </row>
    <row r="7" spans="1:113" hidden="1">
      <c r="A7" s="58" t="s">
        <v>85</v>
      </c>
      <c r="B7" s="55" t="s">
        <v>86</v>
      </c>
      <c r="C7" s="15">
        <v>1</v>
      </c>
      <c r="D7" s="15" t="s">
        <v>87</v>
      </c>
      <c r="E7" s="15">
        <v>1</v>
      </c>
      <c r="F7" s="15"/>
      <c r="G7" s="15" t="s">
        <v>48</v>
      </c>
      <c r="H7" s="15"/>
      <c r="I7" s="15"/>
      <c r="J7" s="15"/>
      <c r="K7" s="15" t="s">
        <v>88</v>
      </c>
      <c r="L7" s="15" t="s">
        <v>87</v>
      </c>
      <c r="M7" s="15">
        <v>1</v>
      </c>
      <c r="N7" s="15"/>
      <c r="O7" s="13"/>
      <c r="P7" s="13"/>
      <c r="Q7" s="13"/>
      <c r="R7" s="13"/>
      <c r="S7" s="13" t="s">
        <v>50</v>
      </c>
      <c r="T7" s="13"/>
      <c r="U7" s="13" t="s">
        <v>51</v>
      </c>
      <c r="V7" s="13"/>
      <c r="W7" s="16">
        <v>103.9</v>
      </c>
      <c r="Z7" t="s">
        <v>82</v>
      </c>
      <c r="AA7" t="s">
        <v>49</v>
      </c>
      <c r="AB7" t="s">
        <v>47</v>
      </c>
      <c r="AC7" t="s">
        <v>77</v>
      </c>
      <c r="AD7" t="s">
        <v>83</v>
      </c>
      <c r="AE7" t="s">
        <v>84</v>
      </c>
      <c r="AH7" t="s">
        <v>55</v>
      </c>
      <c r="AI7" t="s">
        <v>56</v>
      </c>
      <c r="AP7" t="s">
        <v>57</v>
      </c>
      <c r="AS7" t="s">
        <v>782</v>
      </c>
      <c r="BX7" t="s">
        <v>88</v>
      </c>
    </row>
    <row r="8" spans="1:113" hidden="1">
      <c r="A8" s="58" t="s">
        <v>89</v>
      </c>
      <c r="B8" s="56" t="s">
        <v>90</v>
      </c>
      <c r="C8" s="13">
        <v>1</v>
      </c>
      <c r="D8" s="13">
        <v>25632300</v>
      </c>
      <c r="E8" s="13">
        <v>1</v>
      </c>
      <c r="F8" s="13">
        <v>740</v>
      </c>
      <c r="G8" s="13" t="s">
        <v>91</v>
      </c>
      <c r="H8" s="13">
        <v>740</v>
      </c>
      <c r="I8" s="13" t="s">
        <v>91</v>
      </c>
      <c r="J8" s="13">
        <v>0</v>
      </c>
      <c r="K8" s="13" t="s">
        <v>92</v>
      </c>
      <c r="L8" s="13" t="s">
        <v>87</v>
      </c>
      <c r="M8" s="13"/>
      <c r="N8" s="13"/>
      <c r="O8" s="13"/>
      <c r="P8" s="13"/>
      <c r="Q8" s="13"/>
      <c r="R8" s="13"/>
      <c r="S8" s="13" t="s">
        <v>50</v>
      </c>
      <c r="T8" s="13"/>
      <c r="U8" s="13" t="s">
        <v>93</v>
      </c>
      <c r="V8" s="13"/>
      <c r="W8" s="17">
        <v>0</v>
      </c>
      <c r="Z8" t="s">
        <v>82</v>
      </c>
      <c r="AA8" t="s">
        <v>49</v>
      </c>
      <c r="AB8" t="s">
        <v>47</v>
      </c>
      <c r="AC8" t="s">
        <v>77</v>
      </c>
      <c r="AD8" t="s">
        <v>83</v>
      </c>
      <c r="AE8" t="s">
        <v>84</v>
      </c>
      <c r="AH8" t="s">
        <v>55</v>
      </c>
      <c r="AI8" t="s">
        <v>56</v>
      </c>
      <c r="AP8" t="s">
        <v>57</v>
      </c>
      <c r="AS8" t="s">
        <v>782</v>
      </c>
      <c r="BX8" t="s">
        <v>94</v>
      </c>
      <c r="BY8" t="s">
        <v>95</v>
      </c>
      <c r="BZ8" t="s">
        <v>96</v>
      </c>
      <c r="CB8" t="s">
        <v>97</v>
      </c>
    </row>
    <row r="9" spans="1:113" hidden="1">
      <c r="A9" s="58" t="s">
        <v>98</v>
      </c>
      <c r="B9" s="56" t="s">
        <v>90</v>
      </c>
      <c r="C9" s="13">
        <v>2</v>
      </c>
      <c r="D9" s="13">
        <v>3741900</v>
      </c>
      <c r="E9" s="13">
        <v>2</v>
      </c>
      <c r="F9" s="13">
        <v>0.30399999999999999</v>
      </c>
      <c r="G9" s="13" t="s">
        <v>99</v>
      </c>
      <c r="H9" s="13">
        <v>390</v>
      </c>
      <c r="I9" s="13" t="s">
        <v>91</v>
      </c>
      <c r="J9" s="13">
        <v>390</v>
      </c>
      <c r="K9" s="13" t="s">
        <v>100</v>
      </c>
      <c r="L9" s="13" t="s">
        <v>87</v>
      </c>
      <c r="M9" s="13"/>
      <c r="N9" s="13"/>
      <c r="O9" s="13"/>
      <c r="P9" s="13"/>
      <c r="Q9" s="13"/>
      <c r="R9" s="13"/>
      <c r="S9" s="13" t="s">
        <v>50</v>
      </c>
      <c r="T9" s="13"/>
      <c r="U9" s="13" t="s">
        <v>93</v>
      </c>
      <c r="V9" s="13"/>
      <c r="W9" s="17">
        <v>0</v>
      </c>
      <c r="X9" s="18"/>
      <c r="Z9" t="s">
        <v>82</v>
      </c>
      <c r="AA9" t="s">
        <v>49</v>
      </c>
      <c r="AB9" t="s">
        <v>47</v>
      </c>
      <c r="AC9" t="s">
        <v>77</v>
      </c>
      <c r="AD9" t="s">
        <v>83</v>
      </c>
      <c r="AE9" t="s">
        <v>84</v>
      </c>
      <c r="AH9" t="s">
        <v>55</v>
      </c>
      <c r="AI9" t="s">
        <v>56</v>
      </c>
      <c r="AP9" t="s">
        <v>57</v>
      </c>
      <c r="AS9" t="s">
        <v>782</v>
      </c>
      <c r="BX9" t="s">
        <v>101</v>
      </c>
      <c r="BY9">
        <v>30</v>
      </c>
      <c r="BZ9" t="s">
        <v>102</v>
      </c>
      <c r="CA9">
        <v>1.0122</v>
      </c>
      <c r="CB9" t="s">
        <v>103</v>
      </c>
    </row>
    <row r="10" spans="1:113" hidden="1">
      <c r="A10" s="58" t="s">
        <v>104</v>
      </c>
      <c r="B10" s="56" t="s">
        <v>90</v>
      </c>
      <c r="C10" s="13">
        <v>3</v>
      </c>
      <c r="D10" s="13">
        <v>3740200</v>
      </c>
      <c r="E10" s="13">
        <v>2</v>
      </c>
      <c r="F10" s="13">
        <v>2E-3</v>
      </c>
      <c r="G10" s="13" t="s">
        <v>99</v>
      </c>
      <c r="H10" s="13">
        <v>52</v>
      </c>
      <c r="I10" s="13" t="s">
        <v>91</v>
      </c>
      <c r="J10" s="13">
        <v>21</v>
      </c>
      <c r="K10" s="13" t="s">
        <v>105</v>
      </c>
      <c r="L10" s="13" t="s">
        <v>87</v>
      </c>
      <c r="M10" s="13"/>
      <c r="N10" s="13"/>
      <c r="O10" s="13"/>
      <c r="P10" s="13"/>
      <c r="Q10" s="13"/>
      <c r="R10" s="13"/>
      <c r="S10" s="13" t="s">
        <v>50</v>
      </c>
      <c r="T10" s="13"/>
      <c r="U10" s="13" t="s">
        <v>93</v>
      </c>
      <c r="V10" s="13"/>
      <c r="W10" s="17">
        <v>0</v>
      </c>
      <c r="Z10" t="s">
        <v>82</v>
      </c>
      <c r="AA10" t="s">
        <v>49</v>
      </c>
      <c r="AB10" t="s">
        <v>47</v>
      </c>
      <c r="AC10" t="s">
        <v>77</v>
      </c>
      <c r="AD10" t="s">
        <v>83</v>
      </c>
      <c r="AE10" t="s">
        <v>84</v>
      </c>
      <c r="AH10" t="s">
        <v>55</v>
      </c>
      <c r="AI10" t="s">
        <v>56</v>
      </c>
      <c r="AP10" t="s">
        <v>57</v>
      </c>
      <c r="AS10" t="s">
        <v>782</v>
      </c>
      <c r="BX10" t="s">
        <v>101</v>
      </c>
      <c r="BY10">
        <v>4</v>
      </c>
      <c r="BZ10" t="s">
        <v>102</v>
      </c>
      <c r="CA10">
        <v>1.0122</v>
      </c>
      <c r="CB10" t="s">
        <v>103</v>
      </c>
    </row>
    <row r="11" spans="1:113" hidden="1">
      <c r="A11" s="58" t="s">
        <v>106</v>
      </c>
      <c r="B11" s="55" t="s">
        <v>86</v>
      </c>
      <c r="C11" s="15">
        <v>2</v>
      </c>
      <c r="D11" s="15" t="s">
        <v>107</v>
      </c>
      <c r="E11" s="15">
        <v>1</v>
      </c>
      <c r="F11" s="15"/>
      <c r="G11" s="15" t="s">
        <v>48</v>
      </c>
      <c r="H11" s="15"/>
      <c r="I11" s="15"/>
      <c r="J11" s="15"/>
      <c r="K11" s="15" t="s">
        <v>108</v>
      </c>
      <c r="L11" s="15" t="s">
        <v>107</v>
      </c>
      <c r="M11" s="15">
        <v>3</v>
      </c>
      <c r="N11" s="15"/>
      <c r="O11" s="13"/>
      <c r="P11" s="13"/>
      <c r="Q11" s="13"/>
      <c r="R11" s="13"/>
      <c r="S11" s="13" t="s">
        <v>50</v>
      </c>
      <c r="T11" s="13"/>
      <c r="U11" s="13" t="s">
        <v>51</v>
      </c>
      <c r="V11" s="13"/>
      <c r="W11" s="16">
        <v>42.883000000000003</v>
      </c>
      <c r="Z11" t="s">
        <v>82</v>
      </c>
      <c r="AA11" t="s">
        <v>49</v>
      </c>
      <c r="AB11" t="s">
        <v>47</v>
      </c>
      <c r="AC11" t="s">
        <v>77</v>
      </c>
      <c r="AD11" t="s">
        <v>83</v>
      </c>
      <c r="AE11" t="s">
        <v>84</v>
      </c>
      <c r="AH11" t="s">
        <v>55</v>
      </c>
      <c r="AI11" t="s">
        <v>56</v>
      </c>
      <c r="AP11" t="s">
        <v>57</v>
      </c>
      <c r="AS11" t="s">
        <v>782</v>
      </c>
      <c r="BX11" t="s">
        <v>108</v>
      </c>
    </row>
    <row r="12" spans="1:113" hidden="1">
      <c r="A12" s="58" t="s">
        <v>109</v>
      </c>
      <c r="B12" s="56" t="s">
        <v>90</v>
      </c>
      <c r="C12" s="13">
        <v>1</v>
      </c>
      <c r="D12" s="13">
        <v>3779500</v>
      </c>
      <c r="E12" s="13">
        <v>1</v>
      </c>
      <c r="F12" s="13">
        <v>1312</v>
      </c>
      <c r="G12" s="13" t="s">
        <v>91</v>
      </c>
      <c r="H12" s="13">
        <v>1312</v>
      </c>
      <c r="I12" s="13" t="s">
        <v>91</v>
      </c>
      <c r="J12" s="13">
        <v>0</v>
      </c>
      <c r="K12" s="13" t="s">
        <v>110</v>
      </c>
      <c r="L12" s="13" t="s">
        <v>107</v>
      </c>
      <c r="M12" s="13"/>
      <c r="N12" s="13"/>
      <c r="O12" s="13"/>
      <c r="P12" s="13"/>
      <c r="Q12" s="13"/>
      <c r="R12" s="13"/>
      <c r="S12" s="13" t="s">
        <v>50</v>
      </c>
      <c r="T12" s="13"/>
      <c r="U12" s="13" t="s">
        <v>93</v>
      </c>
      <c r="V12" s="13"/>
      <c r="W12" s="17">
        <v>0</v>
      </c>
      <c r="X12" s="18"/>
      <c r="Z12" t="s">
        <v>82</v>
      </c>
      <c r="AA12" t="s">
        <v>49</v>
      </c>
      <c r="AB12" t="s">
        <v>47</v>
      </c>
      <c r="AC12" t="s">
        <v>77</v>
      </c>
      <c r="AD12" t="s">
        <v>83</v>
      </c>
      <c r="AE12" t="s">
        <v>84</v>
      </c>
      <c r="AH12" t="s">
        <v>55</v>
      </c>
      <c r="AI12" t="s">
        <v>56</v>
      </c>
      <c r="AP12" t="s">
        <v>57</v>
      </c>
      <c r="AS12" t="s">
        <v>782</v>
      </c>
      <c r="BX12" t="s">
        <v>111</v>
      </c>
      <c r="BY12">
        <v>75</v>
      </c>
      <c r="BZ12" t="s">
        <v>112</v>
      </c>
      <c r="CA12">
        <v>1.1191</v>
      </c>
      <c r="CB12" t="s">
        <v>113</v>
      </c>
      <c r="CC12" t="s">
        <v>114</v>
      </c>
    </row>
    <row r="13" spans="1:113" hidden="1">
      <c r="A13" s="58" t="s">
        <v>115</v>
      </c>
      <c r="B13" s="56" t="s">
        <v>86</v>
      </c>
      <c r="C13" s="13">
        <v>3</v>
      </c>
      <c r="D13" s="13" t="s">
        <v>116</v>
      </c>
      <c r="E13" s="13">
        <v>2</v>
      </c>
      <c r="F13" s="13"/>
      <c r="G13" s="13" t="s">
        <v>48</v>
      </c>
      <c r="H13" s="13"/>
      <c r="I13" s="13"/>
      <c r="J13" s="13"/>
      <c r="K13" s="13" t="s">
        <v>117</v>
      </c>
      <c r="L13" s="13" t="s">
        <v>107</v>
      </c>
      <c r="M13" s="13"/>
      <c r="N13" s="13"/>
      <c r="O13" s="13"/>
      <c r="P13" s="13"/>
      <c r="Q13" s="13"/>
      <c r="R13" s="13"/>
      <c r="S13" s="13" t="s">
        <v>50</v>
      </c>
      <c r="T13" s="13"/>
      <c r="U13" s="13" t="s">
        <v>17</v>
      </c>
      <c r="V13" s="13"/>
      <c r="W13" s="17">
        <v>2</v>
      </c>
      <c r="Z13" t="s">
        <v>118</v>
      </c>
      <c r="AA13" t="s">
        <v>49</v>
      </c>
      <c r="AB13" t="s">
        <v>47</v>
      </c>
      <c r="AC13" t="s">
        <v>77</v>
      </c>
      <c r="AH13" t="s">
        <v>55</v>
      </c>
      <c r="AI13" t="s">
        <v>56</v>
      </c>
      <c r="AP13" t="s">
        <v>57</v>
      </c>
      <c r="AS13" t="s">
        <v>782</v>
      </c>
      <c r="BX13" t="s">
        <v>119</v>
      </c>
      <c r="BY13" t="s">
        <v>120</v>
      </c>
    </row>
    <row r="14" spans="1:113" ht="30" hidden="1" customHeight="1">
      <c r="A14" s="58" t="s">
        <v>121</v>
      </c>
      <c r="B14" s="56" t="s">
        <v>86</v>
      </c>
      <c r="C14" s="13">
        <v>4</v>
      </c>
      <c r="D14" s="13" t="s">
        <v>122</v>
      </c>
      <c r="E14" s="13">
        <v>1</v>
      </c>
      <c r="F14" s="13"/>
      <c r="G14" s="13" t="s">
        <v>48</v>
      </c>
      <c r="H14" s="13"/>
      <c r="I14" s="13"/>
      <c r="J14" s="13"/>
      <c r="K14" s="19" t="s">
        <v>123</v>
      </c>
      <c r="L14" s="13" t="s">
        <v>107</v>
      </c>
      <c r="M14" s="13"/>
      <c r="N14" s="13"/>
      <c r="O14" s="13"/>
      <c r="P14" s="13"/>
      <c r="Q14" s="13"/>
      <c r="R14" s="13"/>
      <c r="S14" s="13" t="s">
        <v>50</v>
      </c>
      <c r="T14" s="13"/>
      <c r="U14" s="13" t="s">
        <v>51</v>
      </c>
      <c r="V14" s="13"/>
      <c r="W14" s="17">
        <v>9.1999999999999993</v>
      </c>
      <c r="Z14" t="s">
        <v>124</v>
      </c>
      <c r="AA14" t="s">
        <v>49</v>
      </c>
      <c r="AB14" t="s">
        <v>47</v>
      </c>
      <c r="AC14" t="s">
        <v>77</v>
      </c>
      <c r="AH14" t="s">
        <v>55</v>
      </c>
      <c r="AI14" t="s">
        <v>56</v>
      </c>
      <c r="AP14" t="s">
        <v>57</v>
      </c>
      <c r="AS14" t="s">
        <v>782</v>
      </c>
      <c r="BX14" t="s">
        <v>125</v>
      </c>
      <c r="BY14" t="s">
        <v>126</v>
      </c>
    </row>
    <row r="15" spans="1:113" hidden="1">
      <c r="A15" s="58" t="s">
        <v>127</v>
      </c>
      <c r="B15" s="55" t="s">
        <v>86</v>
      </c>
      <c r="C15" s="15">
        <v>5</v>
      </c>
      <c r="D15" s="15" t="s">
        <v>128</v>
      </c>
      <c r="E15" s="15">
        <v>1</v>
      </c>
      <c r="F15" s="15"/>
      <c r="G15" s="15" t="s">
        <v>48</v>
      </c>
      <c r="H15" s="15"/>
      <c r="I15" s="15"/>
      <c r="J15" s="15"/>
      <c r="K15" s="15" t="s">
        <v>129</v>
      </c>
      <c r="L15" s="15" t="s">
        <v>128</v>
      </c>
      <c r="M15" s="15">
        <v>4</v>
      </c>
      <c r="N15" s="15"/>
      <c r="O15" s="13"/>
      <c r="P15" s="13"/>
      <c r="Q15" s="13"/>
      <c r="R15" s="13"/>
      <c r="S15" s="13" t="s">
        <v>50</v>
      </c>
      <c r="T15" s="13"/>
      <c r="U15" s="13" t="s">
        <v>51</v>
      </c>
      <c r="V15" s="13"/>
      <c r="W15" s="16">
        <v>0.35</v>
      </c>
      <c r="X15" s="18"/>
      <c r="Z15" t="s">
        <v>82</v>
      </c>
      <c r="AA15" t="s">
        <v>49</v>
      </c>
      <c r="AB15" t="s">
        <v>47</v>
      </c>
      <c r="AC15" t="s">
        <v>77</v>
      </c>
      <c r="AD15" t="s">
        <v>83</v>
      </c>
      <c r="AE15" t="s">
        <v>84</v>
      </c>
      <c r="AH15" t="s">
        <v>55</v>
      </c>
      <c r="AI15" t="s">
        <v>56</v>
      </c>
      <c r="AP15" t="s">
        <v>57</v>
      </c>
      <c r="AS15" t="s">
        <v>782</v>
      </c>
      <c r="BX15" t="s">
        <v>129</v>
      </c>
    </row>
    <row r="16" spans="1:113" hidden="1">
      <c r="A16" s="58" t="s">
        <v>130</v>
      </c>
      <c r="B16" s="56" t="s">
        <v>90</v>
      </c>
      <c r="C16" s="13">
        <v>1</v>
      </c>
      <c r="D16" s="13">
        <v>3369800</v>
      </c>
      <c r="E16" s="13">
        <v>1</v>
      </c>
      <c r="F16" s="13">
        <v>20</v>
      </c>
      <c r="G16" s="13" t="s">
        <v>91</v>
      </c>
      <c r="H16" s="13">
        <v>20</v>
      </c>
      <c r="I16" s="13" t="s">
        <v>91</v>
      </c>
      <c r="J16" s="13">
        <v>0</v>
      </c>
      <c r="K16" s="13" t="s">
        <v>131</v>
      </c>
      <c r="L16" s="13" t="s">
        <v>128</v>
      </c>
      <c r="M16" s="13"/>
      <c r="N16" s="13"/>
      <c r="O16" s="13"/>
      <c r="P16" s="13"/>
      <c r="Q16" s="13"/>
      <c r="R16" s="13"/>
      <c r="S16" s="13" t="s">
        <v>50</v>
      </c>
      <c r="T16" s="13"/>
      <c r="U16" s="13" t="s">
        <v>93</v>
      </c>
      <c r="V16" s="13"/>
      <c r="W16" s="17">
        <v>0</v>
      </c>
      <c r="X16" s="18"/>
      <c r="Z16" t="s">
        <v>82</v>
      </c>
      <c r="AA16" t="s">
        <v>49</v>
      </c>
      <c r="AB16" t="s">
        <v>47</v>
      </c>
      <c r="AC16" t="s">
        <v>77</v>
      </c>
      <c r="AD16" t="s">
        <v>83</v>
      </c>
      <c r="AE16" t="s">
        <v>84</v>
      </c>
      <c r="AH16" t="s">
        <v>55</v>
      </c>
      <c r="AI16" t="s">
        <v>56</v>
      </c>
      <c r="AP16" t="s">
        <v>57</v>
      </c>
      <c r="AS16" t="s">
        <v>782</v>
      </c>
      <c r="BX16" t="s">
        <v>111</v>
      </c>
      <c r="BY16">
        <v>60</v>
      </c>
      <c r="BZ16" t="s">
        <v>112</v>
      </c>
      <c r="CA16" t="s">
        <v>132</v>
      </c>
      <c r="CB16" t="s">
        <v>133</v>
      </c>
    </row>
    <row r="17" spans="1:81" hidden="1">
      <c r="A17" s="58" t="s">
        <v>134</v>
      </c>
      <c r="B17" s="56" t="s">
        <v>86</v>
      </c>
      <c r="C17" s="13">
        <v>101</v>
      </c>
      <c r="D17" s="13">
        <v>96500</v>
      </c>
      <c r="E17" s="13">
        <v>1</v>
      </c>
      <c r="F17" s="13"/>
      <c r="G17" s="13" t="s">
        <v>48</v>
      </c>
      <c r="H17" s="13" t="s">
        <v>135</v>
      </c>
      <c r="I17" s="13"/>
      <c r="J17" s="13"/>
      <c r="K17" s="13" t="s">
        <v>136</v>
      </c>
      <c r="L17" s="13" t="s">
        <v>128</v>
      </c>
      <c r="M17" s="13"/>
      <c r="N17" s="13"/>
      <c r="O17" s="13"/>
      <c r="P17" s="13"/>
      <c r="Q17" s="13"/>
      <c r="R17" s="13"/>
      <c r="S17" s="13" t="s">
        <v>50</v>
      </c>
      <c r="T17" s="13"/>
      <c r="U17" s="13" t="s">
        <v>17</v>
      </c>
      <c r="V17" s="13"/>
      <c r="W17" s="17">
        <v>0</v>
      </c>
      <c r="Z17" t="s">
        <v>82</v>
      </c>
      <c r="AA17" t="s">
        <v>49</v>
      </c>
      <c r="AB17" t="s">
        <v>47</v>
      </c>
      <c r="AC17" t="s">
        <v>77</v>
      </c>
      <c r="AD17" t="s">
        <v>83</v>
      </c>
      <c r="AE17" t="s">
        <v>84</v>
      </c>
      <c r="AH17" t="s">
        <v>55</v>
      </c>
      <c r="AI17" t="s">
        <v>56</v>
      </c>
      <c r="AP17" t="s">
        <v>57</v>
      </c>
      <c r="AS17" t="s">
        <v>782</v>
      </c>
      <c r="BX17" t="s">
        <v>137</v>
      </c>
      <c r="BY17" t="s">
        <v>135</v>
      </c>
      <c r="CA17" t="s">
        <v>138</v>
      </c>
      <c r="CB17" t="s">
        <v>139</v>
      </c>
    </row>
    <row r="18" spans="1:81" hidden="1">
      <c r="A18" s="58" t="s">
        <v>140</v>
      </c>
      <c r="B18" s="56" t="s">
        <v>86</v>
      </c>
      <c r="C18" s="13">
        <v>102</v>
      </c>
      <c r="D18" s="13">
        <v>2593100</v>
      </c>
      <c r="E18" s="13">
        <v>1</v>
      </c>
      <c r="F18" s="13"/>
      <c r="G18" s="13" t="s">
        <v>48</v>
      </c>
      <c r="H18" s="13" t="s">
        <v>141</v>
      </c>
      <c r="I18" s="13"/>
      <c r="J18" s="13"/>
      <c r="K18" s="13" t="s">
        <v>142</v>
      </c>
      <c r="L18" s="13" t="s">
        <v>128</v>
      </c>
      <c r="M18" s="13"/>
      <c r="N18" s="13"/>
      <c r="O18" s="13"/>
      <c r="P18" s="13"/>
      <c r="Q18" s="13"/>
      <c r="R18" s="13"/>
      <c r="S18" s="13" t="s">
        <v>50</v>
      </c>
      <c r="T18" s="13"/>
      <c r="U18" s="13" t="s">
        <v>17</v>
      </c>
      <c r="V18" s="13"/>
      <c r="W18" s="17">
        <v>0</v>
      </c>
      <c r="Z18" t="s">
        <v>82</v>
      </c>
      <c r="AA18" t="s">
        <v>49</v>
      </c>
      <c r="AB18" t="s">
        <v>47</v>
      </c>
      <c r="AC18" t="s">
        <v>77</v>
      </c>
      <c r="AD18" t="s">
        <v>83</v>
      </c>
      <c r="AE18" t="s">
        <v>84</v>
      </c>
      <c r="AH18" t="s">
        <v>55</v>
      </c>
      <c r="AI18" t="s">
        <v>56</v>
      </c>
      <c r="AP18" t="s">
        <v>57</v>
      </c>
      <c r="AS18" t="s">
        <v>782</v>
      </c>
      <c r="BX18" t="s">
        <v>143</v>
      </c>
      <c r="BY18" t="s">
        <v>141</v>
      </c>
      <c r="BZ18" t="s">
        <v>144</v>
      </c>
      <c r="CA18" t="s">
        <v>145</v>
      </c>
    </row>
    <row r="19" spans="1:81" hidden="1">
      <c r="A19" s="58" t="s">
        <v>146</v>
      </c>
      <c r="B19" s="55" t="s">
        <v>79</v>
      </c>
      <c r="C19" s="15">
        <v>2</v>
      </c>
      <c r="D19" s="15" t="s">
        <v>147</v>
      </c>
      <c r="E19" s="15">
        <v>1</v>
      </c>
      <c r="F19" s="15"/>
      <c r="G19" s="15" t="s">
        <v>48</v>
      </c>
      <c r="H19" s="15"/>
      <c r="I19" s="15"/>
      <c r="J19" s="15"/>
      <c r="K19" s="15" t="s">
        <v>148</v>
      </c>
      <c r="L19" s="15" t="s">
        <v>147</v>
      </c>
      <c r="M19" s="15">
        <v>2</v>
      </c>
      <c r="N19" s="15"/>
      <c r="O19" s="13"/>
      <c r="P19" s="13"/>
      <c r="Q19" s="13"/>
      <c r="R19" s="13"/>
      <c r="S19" s="13" t="s">
        <v>50</v>
      </c>
      <c r="T19" s="13"/>
      <c r="U19" s="13" t="s">
        <v>51</v>
      </c>
      <c r="V19" s="13"/>
      <c r="W19" s="16">
        <v>28.407</v>
      </c>
      <c r="Z19" t="s">
        <v>76</v>
      </c>
      <c r="AA19" t="s">
        <v>49</v>
      </c>
      <c r="AB19" t="s">
        <v>47</v>
      </c>
      <c r="AC19" t="s">
        <v>77</v>
      </c>
      <c r="AH19" t="s">
        <v>55</v>
      </c>
      <c r="AI19" t="s">
        <v>56</v>
      </c>
      <c r="AP19" t="s">
        <v>57</v>
      </c>
      <c r="AS19" t="s">
        <v>782</v>
      </c>
      <c r="BX19" t="s">
        <v>148</v>
      </c>
    </row>
    <row r="20" spans="1:81" hidden="1">
      <c r="A20" s="58" t="s">
        <v>149</v>
      </c>
      <c r="B20" s="56" t="s">
        <v>86</v>
      </c>
      <c r="C20" s="13">
        <v>101</v>
      </c>
      <c r="D20" s="13">
        <v>813800</v>
      </c>
      <c r="E20" s="13">
        <v>4</v>
      </c>
      <c r="F20" s="13"/>
      <c r="G20" s="13" t="s">
        <v>48</v>
      </c>
      <c r="H20" s="13" t="s">
        <v>150</v>
      </c>
      <c r="I20" s="13"/>
      <c r="J20" s="13"/>
      <c r="K20" s="13" t="s">
        <v>151</v>
      </c>
      <c r="L20" s="13" t="s">
        <v>147</v>
      </c>
      <c r="M20" s="13"/>
      <c r="N20" s="13"/>
      <c r="O20" s="13"/>
      <c r="P20" s="13"/>
      <c r="Q20" s="13"/>
      <c r="R20" s="13"/>
      <c r="S20" s="13" t="s">
        <v>50</v>
      </c>
      <c r="T20" s="13"/>
      <c r="U20" s="13" t="s">
        <v>17</v>
      </c>
      <c r="V20" s="13"/>
      <c r="W20" s="17">
        <v>0.217</v>
      </c>
      <c r="X20" s="18"/>
      <c r="Z20" t="s">
        <v>152</v>
      </c>
      <c r="AA20" t="s">
        <v>49</v>
      </c>
      <c r="AB20" t="s">
        <v>47</v>
      </c>
      <c r="AC20" t="s">
        <v>77</v>
      </c>
      <c r="AH20" t="s">
        <v>55</v>
      </c>
      <c r="AI20" t="s">
        <v>56</v>
      </c>
      <c r="AP20" t="s">
        <v>57</v>
      </c>
      <c r="AS20" t="s">
        <v>782</v>
      </c>
      <c r="BX20" t="s">
        <v>153</v>
      </c>
      <c r="BY20" t="s">
        <v>150</v>
      </c>
      <c r="BZ20" t="s">
        <v>154</v>
      </c>
      <c r="CA20">
        <v>8.8000000000000007</v>
      </c>
      <c r="CB20" t="s">
        <v>155</v>
      </c>
      <c r="CC20" t="s">
        <v>156</v>
      </c>
    </row>
    <row r="21" spans="1:81" hidden="1">
      <c r="A21" s="58" t="s">
        <v>157</v>
      </c>
      <c r="B21" s="56" t="s">
        <v>86</v>
      </c>
      <c r="C21" s="13">
        <v>102</v>
      </c>
      <c r="D21" s="13">
        <v>24723900</v>
      </c>
      <c r="E21" s="13">
        <v>4</v>
      </c>
      <c r="F21" s="13"/>
      <c r="G21" s="13" t="s">
        <v>48</v>
      </c>
      <c r="H21" s="13" t="s">
        <v>158</v>
      </c>
      <c r="I21" s="13"/>
      <c r="J21" s="13"/>
      <c r="K21" s="13" t="s">
        <v>159</v>
      </c>
      <c r="L21" s="13" t="s">
        <v>147</v>
      </c>
      <c r="M21" s="13"/>
      <c r="N21" s="13"/>
      <c r="O21" s="13"/>
      <c r="P21" s="13"/>
      <c r="Q21" s="13"/>
      <c r="R21" s="13"/>
      <c r="S21" s="13" t="s">
        <v>50</v>
      </c>
      <c r="T21" s="13"/>
      <c r="U21" s="13" t="s">
        <v>17</v>
      </c>
      <c r="V21" s="13"/>
      <c r="W21" s="17">
        <v>0.1</v>
      </c>
      <c r="Z21" t="s">
        <v>152</v>
      </c>
      <c r="AA21" t="s">
        <v>49</v>
      </c>
      <c r="AB21" t="s">
        <v>47</v>
      </c>
      <c r="AC21" t="s">
        <v>77</v>
      </c>
      <c r="AH21" t="s">
        <v>55</v>
      </c>
      <c r="AI21" t="s">
        <v>56</v>
      </c>
      <c r="AP21" t="s">
        <v>57</v>
      </c>
      <c r="AS21" t="s">
        <v>782</v>
      </c>
      <c r="BX21" t="s">
        <v>160</v>
      </c>
      <c r="BY21" t="s">
        <v>158</v>
      </c>
      <c r="BZ21" t="s">
        <v>161</v>
      </c>
      <c r="CA21">
        <v>8</v>
      </c>
      <c r="CB21" t="s">
        <v>155</v>
      </c>
      <c r="CC21" t="s">
        <v>156</v>
      </c>
    </row>
    <row r="22" spans="1:81" hidden="1">
      <c r="A22" s="58" t="s">
        <v>162</v>
      </c>
      <c r="B22" s="56" t="s">
        <v>86</v>
      </c>
      <c r="C22" s="13">
        <v>103</v>
      </c>
      <c r="D22" s="13">
        <v>24712900</v>
      </c>
      <c r="E22" s="13">
        <v>8</v>
      </c>
      <c r="F22" s="13"/>
      <c r="G22" s="13" t="s">
        <v>48</v>
      </c>
      <c r="H22" s="13">
        <v>21</v>
      </c>
      <c r="I22" s="13"/>
      <c r="J22" s="13"/>
      <c r="K22" s="13" t="s">
        <v>163</v>
      </c>
      <c r="L22" s="13" t="s">
        <v>147</v>
      </c>
      <c r="M22" s="13"/>
      <c r="N22" s="13"/>
      <c r="O22" s="13"/>
      <c r="P22" s="13"/>
      <c r="Q22" s="13"/>
      <c r="R22" s="13"/>
      <c r="S22" s="13" t="s">
        <v>50</v>
      </c>
      <c r="T22" s="13"/>
      <c r="U22" s="13" t="s">
        <v>17</v>
      </c>
      <c r="V22" s="13"/>
      <c r="W22" s="17">
        <v>1.7000000000000001E-2</v>
      </c>
      <c r="Z22" t="s">
        <v>152</v>
      </c>
      <c r="AA22" t="s">
        <v>49</v>
      </c>
      <c r="AB22" t="s">
        <v>47</v>
      </c>
      <c r="AC22" t="s">
        <v>77</v>
      </c>
      <c r="AH22" t="s">
        <v>55</v>
      </c>
      <c r="AI22" t="s">
        <v>56</v>
      </c>
      <c r="AP22" t="s">
        <v>57</v>
      </c>
      <c r="AS22" t="s">
        <v>782</v>
      </c>
      <c r="BX22" t="s">
        <v>164</v>
      </c>
      <c r="BY22">
        <v>21</v>
      </c>
      <c r="BZ22" t="s">
        <v>165</v>
      </c>
      <c r="CA22" t="s">
        <v>166</v>
      </c>
      <c r="CB22" t="s">
        <v>167</v>
      </c>
    </row>
    <row r="23" spans="1:81" ht="45" hidden="1" customHeight="1">
      <c r="A23" s="58" t="s">
        <v>168</v>
      </c>
      <c r="B23" s="56" t="s">
        <v>86</v>
      </c>
      <c r="C23" s="13">
        <v>301</v>
      </c>
      <c r="D23" s="13" t="s">
        <v>169</v>
      </c>
      <c r="E23" s="13">
        <v>2</v>
      </c>
      <c r="F23" s="13"/>
      <c r="G23" s="13" t="s">
        <v>48</v>
      </c>
      <c r="H23" s="13"/>
      <c r="I23" s="13"/>
      <c r="J23" s="13"/>
      <c r="K23" s="19" t="s">
        <v>170</v>
      </c>
      <c r="L23" s="13" t="s">
        <v>147</v>
      </c>
      <c r="M23" s="13"/>
      <c r="N23" s="13"/>
      <c r="O23" s="13"/>
      <c r="P23" s="13"/>
      <c r="Q23" s="13"/>
      <c r="R23" s="13"/>
      <c r="S23" s="13" t="s">
        <v>50</v>
      </c>
      <c r="T23" s="13"/>
      <c r="U23" s="13" t="s">
        <v>17</v>
      </c>
      <c r="V23" s="13"/>
      <c r="W23" s="17">
        <v>9.6999999999999993</v>
      </c>
      <c r="Z23" t="s">
        <v>118</v>
      </c>
      <c r="AA23" t="s">
        <v>49</v>
      </c>
      <c r="AB23" t="s">
        <v>47</v>
      </c>
      <c r="AC23" t="s">
        <v>77</v>
      </c>
      <c r="AH23" t="s">
        <v>55</v>
      </c>
      <c r="AI23" t="s">
        <v>56</v>
      </c>
      <c r="AP23" t="s">
        <v>57</v>
      </c>
      <c r="AS23" t="s">
        <v>782</v>
      </c>
      <c r="BX23" t="s">
        <v>171</v>
      </c>
      <c r="BY23" t="s">
        <v>172</v>
      </c>
    </row>
    <row r="24" spans="1:81" ht="30" hidden="1" customHeight="1">
      <c r="A24" s="58" t="s">
        <v>173</v>
      </c>
      <c r="B24" s="56" t="s">
        <v>86</v>
      </c>
      <c r="C24" s="13">
        <v>302</v>
      </c>
      <c r="D24" s="13" t="s">
        <v>174</v>
      </c>
      <c r="E24" s="13">
        <v>2</v>
      </c>
      <c r="F24" s="13"/>
      <c r="G24" s="13" t="s">
        <v>48</v>
      </c>
      <c r="H24" s="13"/>
      <c r="I24" s="13"/>
      <c r="J24" s="13"/>
      <c r="K24" s="19" t="s">
        <v>175</v>
      </c>
      <c r="L24" s="13" t="s">
        <v>147</v>
      </c>
      <c r="M24" s="13"/>
      <c r="N24" s="13"/>
      <c r="O24" s="13"/>
      <c r="P24" s="13"/>
      <c r="Q24" s="13"/>
      <c r="R24" s="13"/>
      <c r="S24" s="13" t="s">
        <v>50</v>
      </c>
      <c r="T24" s="13"/>
      <c r="U24" s="13" t="s">
        <v>17</v>
      </c>
      <c r="V24" s="13"/>
      <c r="W24" s="17">
        <v>2.4700000000000002</v>
      </c>
      <c r="X24" s="18"/>
      <c r="Z24" t="s">
        <v>118</v>
      </c>
      <c r="AA24" t="s">
        <v>49</v>
      </c>
      <c r="AB24" t="s">
        <v>47</v>
      </c>
      <c r="AC24" t="s">
        <v>77</v>
      </c>
      <c r="AH24" t="s">
        <v>55</v>
      </c>
      <c r="AI24" t="s">
        <v>56</v>
      </c>
      <c r="AP24" t="s">
        <v>57</v>
      </c>
      <c r="AS24" t="s">
        <v>782</v>
      </c>
      <c r="BX24" t="s">
        <v>175</v>
      </c>
    </row>
    <row r="25" spans="1:81" ht="30" hidden="1" customHeight="1">
      <c r="A25" s="58" t="s">
        <v>176</v>
      </c>
      <c r="B25" s="56" t="s">
        <v>86</v>
      </c>
      <c r="C25" s="13">
        <v>303</v>
      </c>
      <c r="D25" s="13" t="s">
        <v>177</v>
      </c>
      <c r="E25" s="13">
        <v>2</v>
      </c>
      <c r="F25" s="13"/>
      <c r="G25" s="13" t="s">
        <v>48</v>
      </c>
      <c r="H25" s="13"/>
      <c r="I25" s="13"/>
      <c r="J25" s="13"/>
      <c r="K25" s="19" t="s">
        <v>178</v>
      </c>
      <c r="L25" s="13" t="s">
        <v>147</v>
      </c>
      <c r="M25" s="13"/>
      <c r="N25" s="13"/>
      <c r="O25" s="13"/>
      <c r="P25" s="13"/>
      <c r="Q25" s="13"/>
      <c r="R25" s="13"/>
      <c r="S25" s="13" t="s">
        <v>50</v>
      </c>
      <c r="T25" s="13"/>
      <c r="U25" s="13" t="s">
        <v>17</v>
      </c>
      <c r="V25" s="13"/>
      <c r="W25" s="17">
        <v>1.18</v>
      </c>
      <c r="Z25" t="s">
        <v>118</v>
      </c>
      <c r="AA25" t="s">
        <v>49</v>
      </c>
      <c r="AB25" t="s">
        <v>47</v>
      </c>
      <c r="AC25" t="s">
        <v>77</v>
      </c>
      <c r="AH25" t="s">
        <v>55</v>
      </c>
      <c r="AI25" t="s">
        <v>56</v>
      </c>
      <c r="AP25" t="s">
        <v>57</v>
      </c>
      <c r="AS25" t="s">
        <v>782</v>
      </c>
      <c r="BX25" t="s">
        <v>178</v>
      </c>
    </row>
    <row r="26" spans="1:81" hidden="1">
      <c r="A26" s="58" t="s">
        <v>179</v>
      </c>
      <c r="B26" s="56" t="s">
        <v>86</v>
      </c>
      <c r="C26" s="13">
        <v>304</v>
      </c>
      <c r="D26" s="13" t="s">
        <v>180</v>
      </c>
      <c r="E26" s="13">
        <v>2</v>
      </c>
      <c r="F26" s="13"/>
      <c r="G26" s="13" t="s">
        <v>48</v>
      </c>
      <c r="H26" s="13"/>
      <c r="I26" s="13"/>
      <c r="J26" s="13"/>
      <c r="K26" s="13" t="s">
        <v>181</v>
      </c>
      <c r="L26" s="13" t="s">
        <v>147</v>
      </c>
      <c r="M26" s="13"/>
      <c r="N26" s="13"/>
      <c r="O26" s="13"/>
      <c r="P26" s="13"/>
      <c r="Q26" s="13"/>
      <c r="R26" s="13"/>
      <c r="S26" s="13" t="s">
        <v>50</v>
      </c>
      <c r="T26" s="13"/>
      <c r="U26" s="13" t="s">
        <v>17</v>
      </c>
      <c r="V26" s="13"/>
      <c r="W26" s="17">
        <v>6.6000000000000003E-2</v>
      </c>
      <c r="X26" s="18"/>
      <c r="Z26" t="s">
        <v>118</v>
      </c>
      <c r="AA26" t="s">
        <v>49</v>
      </c>
      <c r="AB26" t="s">
        <v>47</v>
      </c>
      <c r="AC26" t="s">
        <v>77</v>
      </c>
      <c r="AH26" t="s">
        <v>55</v>
      </c>
      <c r="AI26" t="s">
        <v>56</v>
      </c>
      <c r="AP26" t="s">
        <v>57</v>
      </c>
      <c r="AS26" t="s">
        <v>782</v>
      </c>
      <c r="BX26" t="s">
        <v>182</v>
      </c>
      <c r="BY26" t="s">
        <v>183</v>
      </c>
    </row>
    <row r="27" spans="1:81" hidden="1">
      <c r="A27" s="58" t="s">
        <v>184</v>
      </c>
      <c r="B27" s="56" t="s">
        <v>86</v>
      </c>
      <c r="C27" s="13">
        <v>305</v>
      </c>
      <c r="D27" s="13" t="s">
        <v>185</v>
      </c>
      <c r="E27" s="13">
        <v>1</v>
      </c>
      <c r="F27" s="13"/>
      <c r="G27" s="13" t="s">
        <v>48</v>
      </c>
      <c r="H27" s="13"/>
      <c r="I27" s="13"/>
      <c r="J27" s="13"/>
      <c r="K27" s="13" t="s">
        <v>186</v>
      </c>
      <c r="L27" s="13" t="s">
        <v>147</v>
      </c>
      <c r="M27" s="13"/>
      <c r="N27" s="13"/>
      <c r="O27" s="13"/>
      <c r="P27" s="13"/>
      <c r="Q27" s="13"/>
      <c r="R27" s="13"/>
      <c r="S27" s="13" t="s">
        <v>50</v>
      </c>
      <c r="T27" s="13"/>
      <c r="U27" s="13" t="s">
        <v>17</v>
      </c>
      <c r="V27" s="13"/>
      <c r="W27" s="17">
        <v>1E-3</v>
      </c>
      <c r="Z27" t="s">
        <v>118</v>
      </c>
      <c r="AA27" t="s">
        <v>49</v>
      </c>
      <c r="AB27" t="s">
        <v>47</v>
      </c>
      <c r="AC27" t="s">
        <v>77</v>
      </c>
      <c r="AH27" t="s">
        <v>55</v>
      </c>
      <c r="AI27" t="s">
        <v>56</v>
      </c>
      <c r="AP27" t="s">
        <v>57</v>
      </c>
      <c r="AS27" t="s">
        <v>782</v>
      </c>
      <c r="BX27" t="s">
        <v>187</v>
      </c>
      <c r="BY27" t="s">
        <v>188</v>
      </c>
    </row>
    <row r="28" spans="1:81" ht="60" hidden="1" customHeight="1">
      <c r="A28" s="58" t="s">
        <v>189</v>
      </c>
      <c r="B28" s="56" t="s">
        <v>86</v>
      </c>
      <c r="C28" s="13">
        <v>306</v>
      </c>
      <c r="D28" s="13" t="s">
        <v>190</v>
      </c>
      <c r="E28" s="13">
        <v>3</v>
      </c>
      <c r="F28" s="13"/>
      <c r="G28" s="13" t="s">
        <v>48</v>
      </c>
      <c r="H28" s="13"/>
      <c r="I28" s="13"/>
      <c r="J28" s="13"/>
      <c r="K28" s="19" t="s">
        <v>191</v>
      </c>
      <c r="L28" s="13" t="s">
        <v>147</v>
      </c>
      <c r="M28" s="13"/>
      <c r="N28" s="13"/>
      <c r="O28" s="13"/>
      <c r="P28" s="13"/>
      <c r="Q28" s="13"/>
      <c r="R28" s="13"/>
      <c r="S28" s="13" t="s">
        <v>50</v>
      </c>
      <c r="T28" s="13"/>
      <c r="U28" s="13" t="s">
        <v>17</v>
      </c>
      <c r="V28" s="13"/>
      <c r="W28" s="17">
        <v>0.01</v>
      </c>
      <c r="X28" s="18"/>
      <c r="Z28" t="s">
        <v>118</v>
      </c>
      <c r="AA28" t="s">
        <v>49</v>
      </c>
      <c r="AB28" t="s">
        <v>47</v>
      </c>
      <c r="AC28" t="s">
        <v>77</v>
      </c>
      <c r="AH28" t="s">
        <v>55</v>
      </c>
      <c r="AI28" t="s">
        <v>56</v>
      </c>
      <c r="AP28" t="s">
        <v>57</v>
      </c>
      <c r="AS28" t="s">
        <v>782</v>
      </c>
      <c r="BX28" t="s">
        <v>191</v>
      </c>
    </row>
    <row r="29" spans="1:81" hidden="1">
      <c r="A29" s="58" t="s">
        <v>192</v>
      </c>
      <c r="B29" s="56" t="s">
        <v>86</v>
      </c>
      <c r="C29" s="13">
        <v>307</v>
      </c>
      <c r="D29" s="13">
        <v>5038300</v>
      </c>
      <c r="E29" s="13">
        <v>2</v>
      </c>
      <c r="F29" s="13"/>
      <c r="G29" s="13" t="s">
        <v>48</v>
      </c>
      <c r="H29" s="13" t="s">
        <v>193</v>
      </c>
      <c r="I29" s="13"/>
      <c r="J29" s="13"/>
      <c r="K29" s="13" t="s">
        <v>194</v>
      </c>
      <c r="L29" s="13" t="s">
        <v>147</v>
      </c>
      <c r="M29" s="13"/>
      <c r="N29" s="13"/>
      <c r="O29" s="13"/>
      <c r="P29" s="13"/>
      <c r="Q29" s="13"/>
      <c r="R29" s="13"/>
      <c r="S29" s="13" t="s">
        <v>50</v>
      </c>
      <c r="T29" s="13"/>
      <c r="U29" s="13" t="s">
        <v>17</v>
      </c>
      <c r="V29" s="13"/>
      <c r="W29" s="17">
        <v>0.05</v>
      </c>
      <c r="X29" s="18"/>
      <c r="Z29" t="s">
        <v>118</v>
      </c>
      <c r="AA29" t="s">
        <v>49</v>
      </c>
      <c r="AB29" t="s">
        <v>47</v>
      </c>
      <c r="AC29" t="s">
        <v>77</v>
      </c>
      <c r="AH29" t="s">
        <v>55</v>
      </c>
      <c r="AI29" t="s">
        <v>56</v>
      </c>
      <c r="AP29" t="s">
        <v>57</v>
      </c>
      <c r="AS29" t="s">
        <v>782</v>
      </c>
      <c r="BX29" t="s">
        <v>195</v>
      </c>
      <c r="BY29" t="s">
        <v>196</v>
      </c>
      <c r="BZ29" t="s">
        <v>165</v>
      </c>
      <c r="CA29" t="s">
        <v>197</v>
      </c>
      <c r="CB29" t="s">
        <v>198</v>
      </c>
    </row>
    <row r="30" spans="1:81" ht="30" hidden="1" customHeight="1">
      <c r="A30" s="58" t="s">
        <v>199</v>
      </c>
      <c r="B30" s="56" t="s">
        <v>86</v>
      </c>
      <c r="C30" s="13">
        <v>308</v>
      </c>
      <c r="D30" s="13">
        <v>3661300</v>
      </c>
      <c r="E30" s="13">
        <v>2</v>
      </c>
      <c r="F30" s="13"/>
      <c r="G30" s="13" t="s">
        <v>48</v>
      </c>
      <c r="H30" s="13"/>
      <c r="I30" s="13"/>
      <c r="J30" s="13"/>
      <c r="K30" s="19" t="s">
        <v>200</v>
      </c>
      <c r="L30" s="13" t="s">
        <v>147</v>
      </c>
      <c r="M30" s="13"/>
      <c r="N30" s="13"/>
      <c r="O30" s="13"/>
      <c r="P30" s="13"/>
      <c r="Q30" s="13"/>
      <c r="R30" s="13"/>
      <c r="S30" s="13" t="s">
        <v>50</v>
      </c>
      <c r="T30" s="13"/>
      <c r="U30" s="13" t="s">
        <v>17</v>
      </c>
      <c r="V30" s="13"/>
      <c r="W30" s="17">
        <v>0.02</v>
      </c>
      <c r="X30" s="18"/>
      <c r="Z30" t="s">
        <v>118</v>
      </c>
      <c r="AA30" t="s">
        <v>49</v>
      </c>
      <c r="AB30" t="s">
        <v>47</v>
      </c>
      <c r="AC30" t="s">
        <v>77</v>
      </c>
      <c r="AH30" t="s">
        <v>55</v>
      </c>
      <c r="AI30" t="s">
        <v>56</v>
      </c>
      <c r="AP30" t="s">
        <v>57</v>
      </c>
      <c r="AS30" t="s">
        <v>782</v>
      </c>
      <c r="BX30" t="s">
        <v>200</v>
      </c>
    </row>
    <row r="31" spans="1:81" hidden="1">
      <c r="A31" s="58" t="s">
        <v>201</v>
      </c>
      <c r="B31" s="55" t="s">
        <v>79</v>
      </c>
      <c r="C31" s="15">
        <v>3</v>
      </c>
      <c r="D31" s="15" t="s">
        <v>202</v>
      </c>
      <c r="E31" s="15">
        <v>1</v>
      </c>
      <c r="F31" s="15"/>
      <c r="G31" s="15" t="s">
        <v>48</v>
      </c>
      <c r="H31" s="15"/>
      <c r="I31" s="15"/>
      <c r="J31" s="15"/>
      <c r="K31" s="15" t="s">
        <v>203</v>
      </c>
      <c r="L31" s="15" t="s">
        <v>202</v>
      </c>
      <c r="M31" s="15">
        <v>2</v>
      </c>
      <c r="N31" s="15">
        <v>0</v>
      </c>
      <c r="O31" s="13"/>
      <c r="P31" s="13"/>
      <c r="Q31" s="13"/>
      <c r="R31" s="13"/>
      <c r="S31" s="13" t="s">
        <v>50</v>
      </c>
      <c r="T31" s="13"/>
      <c r="U31" s="13" t="s">
        <v>51</v>
      </c>
      <c r="V31" s="13"/>
      <c r="W31" s="16">
        <v>10.212</v>
      </c>
      <c r="Z31" t="s">
        <v>76</v>
      </c>
      <c r="AA31" t="s">
        <v>49</v>
      </c>
      <c r="AB31" t="s">
        <v>47</v>
      </c>
      <c r="AC31" t="s">
        <v>77</v>
      </c>
      <c r="AH31" t="s">
        <v>55</v>
      </c>
      <c r="AI31" t="s">
        <v>56</v>
      </c>
      <c r="AP31" t="s">
        <v>57</v>
      </c>
      <c r="AS31" t="s">
        <v>782</v>
      </c>
      <c r="BX31" t="s">
        <v>203</v>
      </c>
    </row>
    <row r="32" spans="1:81" hidden="1">
      <c r="A32" s="58" t="s">
        <v>204</v>
      </c>
      <c r="B32" s="55" t="s">
        <v>86</v>
      </c>
      <c r="C32" s="15">
        <v>1</v>
      </c>
      <c r="D32" s="15" t="s">
        <v>205</v>
      </c>
      <c r="E32" s="15">
        <v>1</v>
      </c>
      <c r="F32" s="15"/>
      <c r="G32" s="15" t="s">
        <v>48</v>
      </c>
      <c r="H32" s="15"/>
      <c r="I32" s="15"/>
      <c r="J32" s="15"/>
      <c r="K32" s="15" t="s">
        <v>206</v>
      </c>
      <c r="L32" s="15" t="s">
        <v>205</v>
      </c>
      <c r="M32" s="15">
        <v>3</v>
      </c>
      <c r="N32" s="15">
        <v>0</v>
      </c>
      <c r="O32" s="13"/>
      <c r="P32" s="13"/>
      <c r="Q32" s="13"/>
      <c r="R32" s="13"/>
      <c r="S32" s="13" t="s">
        <v>50</v>
      </c>
      <c r="T32" s="13"/>
      <c r="U32" s="13" t="s">
        <v>51</v>
      </c>
      <c r="V32" s="13"/>
      <c r="W32" s="16">
        <v>5.2910000000000004</v>
      </c>
      <c r="X32" s="18"/>
      <c r="Z32" t="s">
        <v>76</v>
      </c>
      <c r="AA32" t="s">
        <v>49</v>
      </c>
      <c r="AB32" t="s">
        <v>47</v>
      </c>
      <c r="AC32" t="s">
        <v>77</v>
      </c>
      <c r="AH32" t="s">
        <v>55</v>
      </c>
      <c r="AI32" t="s">
        <v>56</v>
      </c>
      <c r="AP32" t="s">
        <v>57</v>
      </c>
      <c r="AS32" t="s">
        <v>782</v>
      </c>
      <c r="BX32" t="s">
        <v>206</v>
      </c>
    </row>
    <row r="33" spans="1:111">
      <c r="A33" s="58" t="s">
        <v>207</v>
      </c>
      <c r="B33" s="56" t="s">
        <v>90</v>
      </c>
      <c r="C33" s="13">
        <v>1</v>
      </c>
      <c r="D33" s="13">
        <v>3681100</v>
      </c>
      <c r="E33" s="13">
        <v>1</v>
      </c>
      <c r="F33" s="13">
        <v>9.5000000000000001E-2</v>
      </c>
      <c r="G33" s="13" t="s">
        <v>99</v>
      </c>
      <c r="H33" s="13">
        <v>215</v>
      </c>
      <c r="I33" s="13" t="s">
        <v>91</v>
      </c>
      <c r="J33" s="13">
        <v>442</v>
      </c>
      <c r="K33" s="13" t="s">
        <v>208</v>
      </c>
      <c r="L33" s="13" t="s">
        <v>205</v>
      </c>
      <c r="M33" s="13"/>
      <c r="N33" s="13"/>
      <c r="O33" s="13"/>
      <c r="P33" s="13"/>
      <c r="Q33" s="13"/>
      <c r="R33" s="13"/>
      <c r="S33" s="13" t="s">
        <v>50</v>
      </c>
      <c r="T33" s="13"/>
      <c r="U33" s="13" t="s">
        <v>93</v>
      </c>
      <c r="V33" s="13"/>
      <c r="W33" s="17">
        <v>0</v>
      </c>
      <c r="Z33" t="s">
        <v>209</v>
      </c>
      <c r="AA33" t="s">
        <v>49</v>
      </c>
      <c r="AB33" t="s">
        <v>47</v>
      </c>
      <c r="AC33" t="s">
        <v>77</v>
      </c>
      <c r="AH33" t="s">
        <v>55</v>
      </c>
      <c r="AI33" t="s">
        <v>56</v>
      </c>
      <c r="AK33" s="79" t="str">
        <f>CK33&amp;"_"&amp;CI33&amp;"_"&amp;L33&amp;"_p"&amp;C33&amp;"_"&amp;E33&amp;"st_"&amp;AM33&amp;"_"&amp;RIGHT(AI33,4)&amp;"_"&amp;AN33</f>
        <v>12_S235_SL40033136_p1_1st_G_1129_</v>
      </c>
      <c r="AM33" t="s">
        <v>665</v>
      </c>
      <c r="AO33" t="s">
        <v>768</v>
      </c>
      <c r="AP33" t="s">
        <v>57</v>
      </c>
      <c r="AQ33" t="s">
        <v>210</v>
      </c>
      <c r="AR33" t="s">
        <v>211</v>
      </c>
      <c r="AS33" t="s">
        <v>782</v>
      </c>
      <c r="BV33" t="s">
        <v>774</v>
      </c>
      <c r="BX33" t="s">
        <v>101</v>
      </c>
      <c r="BY33">
        <v>12</v>
      </c>
      <c r="BZ33" t="s">
        <v>102</v>
      </c>
      <c r="CA33">
        <v>1.0122</v>
      </c>
      <c r="CB33" t="s">
        <v>103</v>
      </c>
      <c r="CH33" t="s">
        <v>103</v>
      </c>
      <c r="CI33" t="s">
        <v>212</v>
      </c>
      <c r="CJ33" t="s">
        <v>213</v>
      </c>
      <c r="CK33">
        <v>12</v>
      </c>
      <c r="CL33" t="s">
        <v>214</v>
      </c>
      <c r="CT33" s="39" t="s">
        <v>665</v>
      </c>
      <c r="CV33" s="39" t="s">
        <v>774</v>
      </c>
      <c r="CW33" t="b">
        <f>CV33=AK33</f>
        <v>1</v>
      </c>
      <c r="CZ33" s="39" t="s">
        <v>768</v>
      </c>
      <c r="DE33" s="39" t="s">
        <v>774</v>
      </c>
      <c r="DG33" s="39" t="s">
        <v>801</v>
      </c>
    </row>
    <row r="34" spans="1:111" hidden="1">
      <c r="A34" s="58" t="s">
        <v>215</v>
      </c>
      <c r="B34" s="55" t="s">
        <v>86</v>
      </c>
      <c r="C34" s="15">
        <v>2</v>
      </c>
      <c r="D34" s="15" t="s">
        <v>216</v>
      </c>
      <c r="E34" s="15">
        <v>2</v>
      </c>
      <c r="F34" s="15"/>
      <c r="G34" s="15" t="s">
        <v>48</v>
      </c>
      <c r="H34" s="15"/>
      <c r="I34" s="15"/>
      <c r="J34" s="15"/>
      <c r="K34" s="15" t="s">
        <v>217</v>
      </c>
      <c r="L34" s="15" t="s">
        <v>216</v>
      </c>
      <c r="M34" s="15">
        <v>4</v>
      </c>
      <c r="N34" s="15"/>
      <c r="O34" s="13"/>
      <c r="P34" s="13"/>
      <c r="Q34" s="13"/>
      <c r="R34" s="13"/>
      <c r="S34" s="13" t="s">
        <v>50</v>
      </c>
      <c r="T34" s="13"/>
      <c r="U34" s="13" t="s">
        <v>51</v>
      </c>
      <c r="V34" s="13"/>
      <c r="W34" s="16">
        <v>1.0840000000000001</v>
      </c>
      <c r="X34" s="18"/>
      <c r="Z34" t="s">
        <v>76</v>
      </c>
      <c r="AA34" t="s">
        <v>49</v>
      </c>
      <c r="AB34" t="s">
        <v>47</v>
      </c>
      <c r="AC34" t="s">
        <v>77</v>
      </c>
      <c r="AH34" t="s">
        <v>55</v>
      </c>
      <c r="AI34" t="s">
        <v>56</v>
      </c>
      <c r="AP34" t="s">
        <v>57</v>
      </c>
      <c r="AS34" t="s">
        <v>782</v>
      </c>
      <c r="BX34" t="s">
        <v>217</v>
      </c>
    </row>
    <row r="35" spans="1:111">
      <c r="A35" s="58" t="s">
        <v>218</v>
      </c>
      <c r="B35" s="56" t="s">
        <v>90</v>
      </c>
      <c r="C35" s="13">
        <v>1</v>
      </c>
      <c r="D35" s="13">
        <v>8300</v>
      </c>
      <c r="E35" s="13">
        <v>2</v>
      </c>
      <c r="F35" s="13">
        <v>4.3999999999999997E-2</v>
      </c>
      <c r="G35" s="13" t="s">
        <v>99</v>
      </c>
      <c r="H35" s="13">
        <v>315</v>
      </c>
      <c r="I35" s="13" t="s">
        <v>91</v>
      </c>
      <c r="J35" s="13">
        <v>70</v>
      </c>
      <c r="K35" s="13" t="s">
        <v>219</v>
      </c>
      <c r="L35" s="13" t="s">
        <v>216</v>
      </c>
      <c r="M35" s="13"/>
      <c r="N35" s="13"/>
      <c r="O35" s="13"/>
      <c r="P35" s="13"/>
      <c r="Q35" s="13"/>
      <c r="R35" s="13"/>
      <c r="S35" s="13" t="s">
        <v>50</v>
      </c>
      <c r="T35" s="13"/>
      <c r="U35" s="13" t="s">
        <v>93</v>
      </c>
      <c r="V35" s="13"/>
      <c r="W35" s="17">
        <v>0</v>
      </c>
      <c r="X35" s="18"/>
      <c r="Z35" t="s">
        <v>209</v>
      </c>
      <c r="AA35" t="s">
        <v>49</v>
      </c>
      <c r="AB35" t="s">
        <v>47</v>
      </c>
      <c r="AC35" t="s">
        <v>77</v>
      </c>
      <c r="AH35" t="s">
        <v>55</v>
      </c>
      <c r="AI35" t="s">
        <v>56</v>
      </c>
      <c r="AK35" s="79" t="str">
        <f>CK35&amp;"_"&amp;CI35&amp;"_"&amp;L35&amp;"_p"&amp;C35&amp;"_"&amp;E35&amp;"st_"&amp;AM35&amp;"_"&amp;RIGHT(AI35,4)&amp;"_"&amp;AN35</f>
        <v>8_S235_SL40033947_p1_2st__1129_</v>
      </c>
      <c r="AO35" t="s">
        <v>768</v>
      </c>
      <c r="AP35" t="s">
        <v>57</v>
      </c>
      <c r="AQ35" t="s">
        <v>220</v>
      </c>
      <c r="AR35" t="s">
        <v>221</v>
      </c>
      <c r="AS35" t="s">
        <v>782</v>
      </c>
      <c r="BV35" t="s">
        <v>775</v>
      </c>
      <c r="BX35" t="s">
        <v>101</v>
      </c>
      <c r="BY35">
        <v>8</v>
      </c>
      <c r="BZ35" t="s">
        <v>102</v>
      </c>
      <c r="CA35">
        <v>1.0038</v>
      </c>
      <c r="CB35" t="s">
        <v>222</v>
      </c>
      <c r="CH35" t="s">
        <v>222</v>
      </c>
      <c r="CI35" t="s">
        <v>212</v>
      </c>
      <c r="CJ35" t="s">
        <v>223</v>
      </c>
      <c r="CK35">
        <v>8</v>
      </c>
      <c r="CL35" t="s">
        <v>224</v>
      </c>
      <c r="CV35" s="39" t="s">
        <v>775</v>
      </c>
      <c r="CW35" t="b">
        <f>CV35=AK35</f>
        <v>1</v>
      </c>
      <c r="CZ35" s="39" t="s">
        <v>768</v>
      </c>
      <c r="DE35" s="39" t="s">
        <v>775</v>
      </c>
      <c r="DG35" s="39" t="s">
        <v>801</v>
      </c>
    </row>
    <row r="36" spans="1:111" hidden="1">
      <c r="A36" s="58" t="s">
        <v>225</v>
      </c>
      <c r="B36" s="56" t="s">
        <v>86</v>
      </c>
      <c r="C36" s="13">
        <v>101</v>
      </c>
      <c r="D36" s="13">
        <v>24725700</v>
      </c>
      <c r="E36" s="13">
        <v>7</v>
      </c>
      <c r="F36" s="13"/>
      <c r="G36" s="13" t="s">
        <v>48</v>
      </c>
      <c r="H36" s="13" t="s">
        <v>226</v>
      </c>
      <c r="I36" s="13"/>
      <c r="J36" s="13"/>
      <c r="K36" s="13" t="s">
        <v>227</v>
      </c>
      <c r="L36" s="13" t="s">
        <v>216</v>
      </c>
      <c r="M36" s="13"/>
      <c r="N36" s="13"/>
      <c r="O36" s="13"/>
      <c r="P36" s="13"/>
      <c r="Q36" s="13"/>
      <c r="R36" s="13"/>
      <c r="S36" s="13" t="s">
        <v>50</v>
      </c>
      <c r="T36" s="13"/>
      <c r="U36" s="13" t="s">
        <v>17</v>
      </c>
      <c r="V36" s="13"/>
      <c r="W36" s="17">
        <v>0.1</v>
      </c>
      <c r="Z36" t="s">
        <v>152</v>
      </c>
      <c r="AA36" t="s">
        <v>49</v>
      </c>
      <c r="AB36" t="s">
        <v>47</v>
      </c>
      <c r="AC36" t="s">
        <v>77</v>
      </c>
      <c r="AH36" t="s">
        <v>55</v>
      </c>
      <c r="AI36" t="s">
        <v>56</v>
      </c>
      <c r="AP36" t="s">
        <v>57</v>
      </c>
      <c r="AS36" t="s">
        <v>782</v>
      </c>
      <c r="BX36" t="s">
        <v>153</v>
      </c>
      <c r="BY36" t="s">
        <v>228</v>
      </c>
      <c r="BZ36" t="s">
        <v>154</v>
      </c>
      <c r="CA36">
        <v>8.8000000000000007</v>
      </c>
      <c r="CB36" t="s">
        <v>155</v>
      </c>
      <c r="CC36" t="s">
        <v>156</v>
      </c>
    </row>
    <row r="37" spans="1:111" hidden="1">
      <c r="A37" s="58" t="s">
        <v>229</v>
      </c>
      <c r="B37" s="56" t="s">
        <v>86</v>
      </c>
      <c r="C37" s="13">
        <v>102</v>
      </c>
      <c r="D37" s="13">
        <v>5115300</v>
      </c>
      <c r="E37" s="13">
        <v>7</v>
      </c>
      <c r="F37" s="13"/>
      <c r="G37" s="13" t="s">
        <v>48</v>
      </c>
      <c r="H37" s="13">
        <v>17</v>
      </c>
      <c r="I37" s="13"/>
      <c r="J37" s="13"/>
      <c r="K37" s="13" t="s">
        <v>230</v>
      </c>
      <c r="L37" s="13" t="s">
        <v>216</v>
      </c>
      <c r="M37" s="13"/>
      <c r="N37" s="13"/>
      <c r="O37" s="13"/>
      <c r="P37" s="13"/>
      <c r="Q37" s="13"/>
      <c r="R37" s="13"/>
      <c r="S37" s="13" t="s">
        <v>50</v>
      </c>
      <c r="T37" s="13"/>
      <c r="U37" s="13" t="s">
        <v>17</v>
      </c>
      <c r="V37" s="13"/>
      <c r="W37" s="17">
        <v>1.0999999999999999E-2</v>
      </c>
      <c r="Z37" t="s">
        <v>152</v>
      </c>
      <c r="AA37" t="s">
        <v>49</v>
      </c>
      <c r="AB37" t="s">
        <v>47</v>
      </c>
      <c r="AC37" t="s">
        <v>77</v>
      </c>
      <c r="AH37" t="s">
        <v>55</v>
      </c>
      <c r="AI37" t="s">
        <v>56</v>
      </c>
      <c r="AP37" t="s">
        <v>57</v>
      </c>
      <c r="AS37" t="s">
        <v>782</v>
      </c>
      <c r="BX37" t="s">
        <v>164</v>
      </c>
      <c r="BY37" t="s">
        <v>231</v>
      </c>
      <c r="BZ37" t="s">
        <v>166</v>
      </c>
      <c r="CB37" t="s">
        <v>167</v>
      </c>
    </row>
    <row r="38" spans="1:111" hidden="1">
      <c r="A38" s="58" t="s">
        <v>232</v>
      </c>
      <c r="B38" s="56" t="s">
        <v>86</v>
      </c>
      <c r="C38" s="13">
        <v>103</v>
      </c>
      <c r="D38" s="13">
        <v>2644200</v>
      </c>
      <c r="E38" s="13">
        <v>2</v>
      </c>
      <c r="F38" s="13"/>
      <c r="G38" s="13" t="s">
        <v>48</v>
      </c>
      <c r="H38" s="13" t="s">
        <v>233</v>
      </c>
      <c r="I38" s="13"/>
      <c r="J38" s="13"/>
      <c r="K38" s="13" t="s">
        <v>234</v>
      </c>
      <c r="L38" s="13" t="s">
        <v>216</v>
      </c>
      <c r="M38" s="13"/>
      <c r="N38" s="13"/>
      <c r="O38" s="13"/>
      <c r="P38" s="13"/>
      <c r="Q38" s="13"/>
      <c r="R38" s="13"/>
      <c r="S38" s="13" t="s">
        <v>50</v>
      </c>
      <c r="T38" s="13"/>
      <c r="U38" s="13" t="s">
        <v>17</v>
      </c>
      <c r="V38" s="13"/>
      <c r="W38" s="17">
        <v>0.65</v>
      </c>
      <c r="Z38" t="s">
        <v>152</v>
      </c>
      <c r="AA38" t="s">
        <v>49</v>
      </c>
      <c r="AB38" t="s">
        <v>47</v>
      </c>
      <c r="AC38" t="s">
        <v>77</v>
      </c>
      <c r="AH38" t="s">
        <v>55</v>
      </c>
      <c r="AI38" t="s">
        <v>56</v>
      </c>
      <c r="AP38" t="s">
        <v>57</v>
      </c>
      <c r="AS38" t="s">
        <v>782</v>
      </c>
      <c r="BX38" t="s">
        <v>153</v>
      </c>
      <c r="BY38" t="s">
        <v>233</v>
      </c>
      <c r="BZ38" t="s">
        <v>154</v>
      </c>
      <c r="CA38">
        <v>8.8000000000000007</v>
      </c>
      <c r="CB38" t="s">
        <v>235</v>
      </c>
    </row>
    <row r="39" spans="1:111" hidden="1">
      <c r="A39" s="58" t="s">
        <v>236</v>
      </c>
      <c r="B39" s="56" t="s">
        <v>86</v>
      </c>
      <c r="C39" s="13">
        <v>104</v>
      </c>
      <c r="D39" s="13">
        <v>30771100</v>
      </c>
      <c r="E39" s="13">
        <v>2</v>
      </c>
      <c r="F39" s="13"/>
      <c r="G39" s="13" t="s">
        <v>48</v>
      </c>
      <c r="H39" s="13" t="s">
        <v>237</v>
      </c>
      <c r="I39" s="13"/>
      <c r="J39" s="13"/>
      <c r="K39" s="13" t="s">
        <v>238</v>
      </c>
      <c r="L39" s="13" t="s">
        <v>216</v>
      </c>
      <c r="M39" s="13"/>
      <c r="N39" s="13"/>
      <c r="O39" s="13"/>
      <c r="P39" s="13"/>
      <c r="Q39" s="13"/>
      <c r="R39" s="13"/>
      <c r="S39" s="13" t="s">
        <v>50</v>
      </c>
      <c r="T39" s="13"/>
      <c r="U39" s="13" t="s">
        <v>17</v>
      </c>
      <c r="V39" s="13"/>
      <c r="W39" s="17">
        <v>0.23</v>
      </c>
      <c r="X39" s="18"/>
      <c r="Z39" t="s">
        <v>152</v>
      </c>
      <c r="AA39" t="s">
        <v>49</v>
      </c>
      <c r="AB39" t="s">
        <v>47</v>
      </c>
      <c r="AC39" t="s">
        <v>77</v>
      </c>
      <c r="AH39" t="s">
        <v>55</v>
      </c>
      <c r="AI39" t="s">
        <v>56</v>
      </c>
      <c r="AP39" t="s">
        <v>57</v>
      </c>
      <c r="AS39" t="s">
        <v>782</v>
      </c>
      <c r="BX39" t="s">
        <v>160</v>
      </c>
      <c r="BY39" t="s">
        <v>237</v>
      </c>
      <c r="BZ39" t="s">
        <v>161</v>
      </c>
      <c r="CA39">
        <v>8</v>
      </c>
      <c r="CB39" t="s">
        <v>235</v>
      </c>
    </row>
    <row r="40" spans="1:111" hidden="1">
      <c r="A40" s="58" t="s">
        <v>239</v>
      </c>
      <c r="B40" s="56" t="s">
        <v>86</v>
      </c>
      <c r="C40" s="13">
        <v>105</v>
      </c>
      <c r="D40" s="13">
        <v>2499100</v>
      </c>
      <c r="E40" s="13">
        <v>4</v>
      </c>
      <c r="F40" s="13"/>
      <c r="G40" s="13" t="s">
        <v>48</v>
      </c>
      <c r="H40" s="13"/>
      <c r="I40" s="13"/>
      <c r="J40" s="13"/>
      <c r="K40" s="13" t="s">
        <v>240</v>
      </c>
      <c r="L40" s="13" t="s">
        <v>216</v>
      </c>
      <c r="M40" s="13"/>
      <c r="N40" s="13"/>
      <c r="O40" s="13"/>
      <c r="P40" s="13"/>
      <c r="Q40" s="13"/>
      <c r="R40" s="13"/>
      <c r="S40" s="13" t="s">
        <v>50</v>
      </c>
      <c r="T40" s="13"/>
      <c r="U40" s="13" t="s">
        <v>17</v>
      </c>
      <c r="V40" s="13"/>
      <c r="W40" s="17">
        <v>5.3999999999999999E-2</v>
      </c>
      <c r="Z40" t="s">
        <v>152</v>
      </c>
      <c r="AA40" t="s">
        <v>49</v>
      </c>
      <c r="AB40" t="s">
        <v>47</v>
      </c>
      <c r="AC40" t="s">
        <v>77</v>
      </c>
      <c r="AH40" t="s">
        <v>55</v>
      </c>
      <c r="AI40" t="s">
        <v>56</v>
      </c>
      <c r="AP40" t="s">
        <v>57</v>
      </c>
      <c r="AS40" t="s">
        <v>782</v>
      </c>
      <c r="BX40" t="s">
        <v>164</v>
      </c>
      <c r="BY40">
        <v>31</v>
      </c>
      <c r="BZ40" t="s">
        <v>165</v>
      </c>
      <c r="CA40" t="s">
        <v>166</v>
      </c>
      <c r="CB40" t="s">
        <v>198</v>
      </c>
    </row>
    <row r="41" spans="1:111" hidden="1">
      <c r="A41" s="58" t="s">
        <v>241</v>
      </c>
      <c r="B41" s="55" t="s">
        <v>79</v>
      </c>
      <c r="C41" s="15">
        <v>4</v>
      </c>
      <c r="D41" s="15" t="s">
        <v>242</v>
      </c>
      <c r="E41" s="15">
        <v>1</v>
      </c>
      <c r="F41" s="15"/>
      <c r="G41" s="15" t="s">
        <v>48</v>
      </c>
      <c r="H41" s="15"/>
      <c r="I41" s="15"/>
      <c r="J41" s="15"/>
      <c r="K41" s="15" t="s">
        <v>243</v>
      </c>
      <c r="L41" s="15" t="s">
        <v>242</v>
      </c>
      <c r="M41" s="15">
        <v>2</v>
      </c>
      <c r="N41" s="15">
        <v>0</v>
      </c>
      <c r="O41" s="13"/>
      <c r="P41" s="13"/>
      <c r="Q41" s="13"/>
      <c r="R41" s="13"/>
      <c r="S41" s="13" t="s">
        <v>50</v>
      </c>
      <c r="T41" s="13"/>
      <c r="U41" s="13" t="s">
        <v>51</v>
      </c>
      <c r="V41" s="13"/>
      <c r="W41" s="16">
        <v>117.095</v>
      </c>
      <c r="Z41" t="s">
        <v>76</v>
      </c>
      <c r="AA41" t="s">
        <v>49</v>
      </c>
      <c r="AB41" t="s">
        <v>47</v>
      </c>
      <c r="AC41" t="s">
        <v>77</v>
      </c>
      <c r="AH41" t="s">
        <v>55</v>
      </c>
      <c r="AI41" t="s">
        <v>56</v>
      </c>
      <c r="AP41" t="s">
        <v>57</v>
      </c>
      <c r="AS41" t="s">
        <v>782</v>
      </c>
      <c r="BX41" t="s">
        <v>243</v>
      </c>
    </row>
    <row r="42" spans="1:111" hidden="1">
      <c r="A42" s="58" t="s">
        <v>244</v>
      </c>
      <c r="B42" s="55" t="s">
        <v>86</v>
      </c>
      <c r="C42" s="15">
        <v>1</v>
      </c>
      <c r="D42" s="15" t="s">
        <v>245</v>
      </c>
      <c r="E42" s="15">
        <v>1</v>
      </c>
      <c r="F42" s="15"/>
      <c r="G42" s="15" t="s">
        <v>48</v>
      </c>
      <c r="H42" s="15"/>
      <c r="I42" s="15"/>
      <c r="J42" s="15"/>
      <c r="K42" s="15" t="s">
        <v>246</v>
      </c>
      <c r="L42" s="15" t="s">
        <v>247</v>
      </c>
      <c r="M42" s="15">
        <v>1</v>
      </c>
      <c r="N42" s="15">
        <v>0</v>
      </c>
      <c r="O42" s="13"/>
      <c r="P42" s="13"/>
      <c r="Q42" s="13"/>
      <c r="R42" s="13"/>
      <c r="S42" s="13" t="s">
        <v>50</v>
      </c>
      <c r="T42" s="13"/>
      <c r="U42" s="13" t="s">
        <v>51</v>
      </c>
      <c r="V42" s="13"/>
      <c r="W42" s="16">
        <v>37.716000000000001</v>
      </c>
      <c r="Z42" t="s">
        <v>76</v>
      </c>
      <c r="AA42" t="s">
        <v>49</v>
      </c>
      <c r="AB42" t="s">
        <v>47</v>
      </c>
      <c r="AC42" t="s">
        <v>77</v>
      </c>
      <c r="AH42" t="s">
        <v>55</v>
      </c>
      <c r="AI42" t="s">
        <v>56</v>
      </c>
      <c r="AP42" t="s">
        <v>57</v>
      </c>
      <c r="AS42" t="s">
        <v>782</v>
      </c>
      <c r="BX42" t="s">
        <v>246</v>
      </c>
    </row>
    <row r="43" spans="1:111">
      <c r="A43" s="58" t="s">
        <v>248</v>
      </c>
      <c r="B43" s="56" t="s">
        <v>90</v>
      </c>
      <c r="C43" s="13">
        <v>2</v>
      </c>
      <c r="D43" s="13">
        <v>3670100</v>
      </c>
      <c r="E43" s="13">
        <v>1</v>
      </c>
      <c r="F43" s="13">
        <v>0.68</v>
      </c>
      <c r="G43" s="13" t="s">
        <v>99</v>
      </c>
      <c r="H43" s="13">
        <v>808</v>
      </c>
      <c r="I43" s="13" t="s">
        <v>91</v>
      </c>
      <c r="J43" s="13">
        <v>842</v>
      </c>
      <c r="K43" s="13" t="s">
        <v>249</v>
      </c>
      <c r="L43" s="13" t="s">
        <v>247</v>
      </c>
      <c r="M43" s="13"/>
      <c r="N43" s="13"/>
      <c r="O43" s="13"/>
      <c r="P43" s="13"/>
      <c r="Q43" s="13"/>
      <c r="R43" s="13"/>
      <c r="S43" s="13" t="s">
        <v>50</v>
      </c>
      <c r="T43" s="13"/>
      <c r="U43" s="13" t="s">
        <v>93</v>
      </c>
      <c r="V43" s="13"/>
      <c r="W43" s="17">
        <v>0</v>
      </c>
      <c r="Z43" t="s">
        <v>209</v>
      </c>
      <c r="AA43" t="s">
        <v>49</v>
      </c>
      <c r="AB43" t="s">
        <v>47</v>
      </c>
      <c r="AC43" t="s">
        <v>77</v>
      </c>
      <c r="AH43" t="s">
        <v>55</v>
      </c>
      <c r="AI43" t="s">
        <v>56</v>
      </c>
      <c r="AK43" s="79" t="str">
        <f t="shared" ref="AK43:AK49" si="0">CK43&amp;"_"&amp;CI43&amp;"_"&amp;L43&amp;"_p"&amp;C43&amp;"_"&amp;E43&amp;"st_"&amp;AM43&amp;"_"&amp;RIGHT(AI43,4)&amp;"_"&amp;AN43</f>
        <v>5_S235_SL40034102_p2_1st_GS_1129_L</v>
      </c>
      <c r="AL43" s="39" t="s">
        <v>250</v>
      </c>
      <c r="AM43" t="s">
        <v>766</v>
      </c>
      <c r="AN43" t="s">
        <v>51</v>
      </c>
      <c r="AO43" t="s">
        <v>770</v>
      </c>
      <c r="AP43" t="s">
        <v>57</v>
      </c>
      <c r="AQ43" t="s">
        <v>251</v>
      </c>
      <c r="AR43" t="s">
        <v>252</v>
      </c>
      <c r="AS43" t="s">
        <v>782</v>
      </c>
      <c r="BV43" t="s">
        <v>785</v>
      </c>
      <c r="BX43" t="s">
        <v>101</v>
      </c>
      <c r="BY43">
        <v>5</v>
      </c>
      <c r="BZ43" t="s">
        <v>102</v>
      </c>
      <c r="CA43">
        <v>1.0122</v>
      </c>
      <c r="CB43" t="s">
        <v>103</v>
      </c>
      <c r="CH43" t="s">
        <v>103</v>
      </c>
      <c r="CI43" t="s">
        <v>212</v>
      </c>
      <c r="CJ43" t="s">
        <v>253</v>
      </c>
      <c r="CK43">
        <v>5</v>
      </c>
      <c r="CL43" t="s">
        <v>214</v>
      </c>
      <c r="CX43" s="39" t="s">
        <v>766</v>
      </c>
      <c r="CY43" s="39" t="s">
        <v>51</v>
      </c>
      <c r="CZ43" s="39" t="s">
        <v>770</v>
      </c>
      <c r="DE43" s="39" t="s">
        <v>785</v>
      </c>
      <c r="DG43" s="39" t="s">
        <v>801</v>
      </c>
    </row>
    <row r="44" spans="1:111" hidden="1">
      <c r="A44" s="58" t="s">
        <v>254</v>
      </c>
      <c r="B44" s="56" t="s">
        <v>90</v>
      </c>
      <c r="C44" s="13">
        <v>3</v>
      </c>
      <c r="D44" s="13">
        <v>8700</v>
      </c>
      <c r="E44" s="13">
        <v>1</v>
      </c>
      <c r="F44" s="13">
        <v>5.5E-2</v>
      </c>
      <c r="G44" s="13" t="s">
        <v>99</v>
      </c>
      <c r="H44" s="13">
        <v>85</v>
      </c>
      <c r="I44" s="13" t="s">
        <v>91</v>
      </c>
      <c r="J44" s="13">
        <v>644.5</v>
      </c>
      <c r="K44" s="13" t="s">
        <v>255</v>
      </c>
      <c r="L44" s="13" t="s">
        <v>247</v>
      </c>
      <c r="M44" s="13"/>
      <c r="N44" s="13"/>
      <c r="O44" s="13"/>
      <c r="P44" s="13"/>
      <c r="Q44" s="13"/>
      <c r="R44" s="13"/>
      <c r="S44" s="13" t="s">
        <v>50</v>
      </c>
      <c r="T44" s="13"/>
      <c r="U44" s="13" t="s">
        <v>93</v>
      </c>
      <c r="V44" s="13"/>
      <c r="W44" s="17">
        <v>0</v>
      </c>
      <c r="Z44" t="s">
        <v>209</v>
      </c>
      <c r="AA44" t="s">
        <v>49</v>
      </c>
      <c r="AB44" t="s">
        <v>47</v>
      </c>
      <c r="AC44" t="s">
        <v>77</v>
      </c>
      <c r="AD44" t="s">
        <v>312</v>
      </c>
      <c r="AH44" t="s">
        <v>55</v>
      </c>
      <c r="AI44" t="s">
        <v>56</v>
      </c>
      <c r="AM44" t="s">
        <v>19</v>
      </c>
      <c r="AO44" t="s">
        <v>769</v>
      </c>
      <c r="AP44" t="s">
        <v>57</v>
      </c>
      <c r="AQ44" t="s">
        <v>256</v>
      </c>
      <c r="AR44" t="s">
        <v>257</v>
      </c>
      <c r="AS44" t="s">
        <v>782</v>
      </c>
      <c r="BV44" t="s">
        <v>776</v>
      </c>
      <c r="BX44" t="s">
        <v>101</v>
      </c>
      <c r="BY44">
        <v>12</v>
      </c>
      <c r="BZ44" t="s">
        <v>102</v>
      </c>
      <c r="CA44">
        <v>1.0038</v>
      </c>
      <c r="CB44" t="s">
        <v>222</v>
      </c>
      <c r="CH44" t="s">
        <v>222</v>
      </c>
      <c r="CI44" t="s">
        <v>212</v>
      </c>
      <c r="CJ44" t="s">
        <v>213</v>
      </c>
      <c r="CK44">
        <v>12</v>
      </c>
      <c r="CL44" t="s">
        <v>224</v>
      </c>
      <c r="CT44" s="39" t="s">
        <v>19</v>
      </c>
      <c r="CV44" s="39" t="s">
        <v>776</v>
      </c>
      <c r="CW44" t="b">
        <f>CV44=AK44</f>
        <v>0</v>
      </c>
      <c r="CZ44" s="39" t="s">
        <v>768</v>
      </c>
      <c r="DE44" s="39" t="s">
        <v>776</v>
      </c>
      <c r="DG44" s="39" t="s">
        <v>801</v>
      </c>
    </row>
    <row r="45" spans="1:111">
      <c r="A45" s="58" t="s">
        <v>258</v>
      </c>
      <c r="B45" s="56" t="s">
        <v>90</v>
      </c>
      <c r="C45" s="13">
        <v>5</v>
      </c>
      <c r="D45" s="13">
        <v>8700</v>
      </c>
      <c r="E45" s="13">
        <v>1</v>
      </c>
      <c r="F45" s="13">
        <v>0.13100000000000001</v>
      </c>
      <c r="G45" s="13" t="s">
        <v>99</v>
      </c>
      <c r="H45" s="13">
        <v>203</v>
      </c>
      <c r="I45" s="13" t="s">
        <v>91</v>
      </c>
      <c r="J45" s="13">
        <v>644.5</v>
      </c>
      <c r="K45" s="13" t="s">
        <v>255</v>
      </c>
      <c r="L45" s="13" t="s">
        <v>247</v>
      </c>
      <c r="M45" s="13"/>
      <c r="N45" s="13"/>
      <c r="O45" s="13"/>
      <c r="P45" s="13"/>
      <c r="Q45" s="13"/>
      <c r="R45" s="13"/>
      <c r="S45" s="13" t="s">
        <v>50</v>
      </c>
      <c r="T45" s="13"/>
      <c r="U45" s="13" t="s">
        <v>93</v>
      </c>
      <c r="V45" s="13"/>
      <c r="W45" s="17">
        <v>0</v>
      </c>
      <c r="Z45" t="s">
        <v>209</v>
      </c>
      <c r="AA45" t="s">
        <v>49</v>
      </c>
      <c r="AB45" t="s">
        <v>47</v>
      </c>
      <c r="AC45" t="s">
        <v>77</v>
      </c>
      <c r="AH45" t="s">
        <v>55</v>
      </c>
      <c r="AI45" t="s">
        <v>56</v>
      </c>
      <c r="AK45" s="79" t="str">
        <f t="shared" si="0"/>
        <v>12_S235_SL40034102_p5_1st_GS_1129_L</v>
      </c>
      <c r="AL45" s="39" t="s">
        <v>250</v>
      </c>
      <c r="AM45" t="s">
        <v>766</v>
      </c>
      <c r="AN45" t="s">
        <v>51</v>
      </c>
      <c r="AO45" t="s">
        <v>770</v>
      </c>
      <c r="AP45" t="s">
        <v>57</v>
      </c>
      <c r="AQ45" t="s">
        <v>259</v>
      </c>
      <c r="AR45" t="s">
        <v>260</v>
      </c>
      <c r="AS45" t="s">
        <v>782</v>
      </c>
      <c r="BV45" t="s">
        <v>786</v>
      </c>
      <c r="BX45" t="s">
        <v>101</v>
      </c>
      <c r="BY45">
        <v>12</v>
      </c>
      <c r="BZ45" t="s">
        <v>102</v>
      </c>
      <c r="CA45">
        <v>1.0038</v>
      </c>
      <c r="CB45" t="s">
        <v>222</v>
      </c>
      <c r="CH45" t="s">
        <v>222</v>
      </c>
      <c r="CI45" t="s">
        <v>212</v>
      </c>
      <c r="CJ45" t="s">
        <v>213</v>
      </c>
      <c r="CK45">
        <v>12</v>
      </c>
      <c r="CL45" t="s">
        <v>224</v>
      </c>
      <c r="CX45" s="39" t="s">
        <v>766</v>
      </c>
      <c r="CY45" s="39" t="s">
        <v>51</v>
      </c>
      <c r="CZ45" s="39" t="s">
        <v>770</v>
      </c>
      <c r="DE45" s="39" t="s">
        <v>786</v>
      </c>
      <c r="DG45" s="39" t="s">
        <v>801</v>
      </c>
    </row>
    <row r="46" spans="1:111">
      <c r="A46" s="58" t="s">
        <v>261</v>
      </c>
      <c r="B46" s="56" t="s">
        <v>90</v>
      </c>
      <c r="C46" s="13">
        <v>7</v>
      </c>
      <c r="D46" s="13">
        <v>8700</v>
      </c>
      <c r="E46" s="13">
        <v>1</v>
      </c>
      <c r="F46" s="13">
        <v>4.4999999999999998E-2</v>
      </c>
      <c r="G46" s="13" t="s">
        <v>99</v>
      </c>
      <c r="H46" s="13">
        <v>143</v>
      </c>
      <c r="I46" s="13" t="s">
        <v>91</v>
      </c>
      <c r="J46" s="13">
        <v>316.5</v>
      </c>
      <c r="K46" s="13" t="s">
        <v>255</v>
      </c>
      <c r="L46" s="13" t="s">
        <v>247</v>
      </c>
      <c r="M46" s="13"/>
      <c r="N46" s="13"/>
      <c r="O46" s="13"/>
      <c r="P46" s="13"/>
      <c r="Q46" s="13"/>
      <c r="R46" s="13"/>
      <c r="S46" s="13" t="s">
        <v>50</v>
      </c>
      <c r="T46" s="13"/>
      <c r="U46" s="13" t="s">
        <v>93</v>
      </c>
      <c r="V46" s="13"/>
      <c r="W46" s="17">
        <v>0</v>
      </c>
      <c r="Z46" t="s">
        <v>209</v>
      </c>
      <c r="AA46" t="s">
        <v>49</v>
      </c>
      <c r="AB46" t="s">
        <v>47</v>
      </c>
      <c r="AC46" t="s">
        <v>77</v>
      </c>
      <c r="AH46" t="s">
        <v>55</v>
      </c>
      <c r="AI46" t="s">
        <v>56</v>
      </c>
      <c r="AK46" s="79" t="str">
        <f t="shared" si="0"/>
        <v>12_S235_SL40034102_p7_1st_GS_1129_L</v>
      </c>
      <c r="AL46" s="39" t="s">
        <v>250</v>
      </c>
      <c r="AM46" t="s">
        <v>766</v>
      </c>
      <c r="AN46" t="s">
        <v>51</v>
      </c>
      <c r="AO46" t="s">
        <v>770</v>
      </c>
      <c r="AP46" t="s">
        <v>57</v>
      </c>
      <c r="AQ46" t="s">
        <v>262</v>
      </c>
      <c r="AR46" t="s">
        <v>263</v>
      </c>
      <c r="AS46" t="s">
        <v>782</v>
      </c>
      <c r="BV46" t="s">
        <v>787</v>
      </c>
      <c r="BX46" t="s">
        <v>101</v>
      </c>
      <c r="BY46">
        <v>12</v>
      </c>
      <c r="BZ46" t="s">
        <v>102</v>
      </c>
      <c r="CA46">
        <v>1.0038</v>
      </c>
      <c r="CB46" t="s">
        <v>222</v>
      </c>
      <c r="CH46" t="s">
        <v>222</v>
      </c>
      <c r="CI46" t="s">
        <v>212</v>
      </c>
      <c r="CJ46" t="s">
        <v>213</v>
      </c>
      <c r="CK46">
        <v>12</v>
      </c>
      <c r="CL46" t="s">
        <v>224</v>
      </c>
      <c r="CX46" s="39" t="s">
        <v>766</v>
      </c>
      <c r="CY46" s="39" t="s">
        <v>51</v>
      </c>
      <c r="CZ46" s="39" t="s">
        <v>770</v>
      </c>
      <c r="DE46" s="39" t="s">
        <v>787</v>
      </c>
      <c r="DG46" s="39" t="s">
        <v>801</v>
      </c>
    </row>
    <row r="47" spans="1:111">
      <c r="A47" s="58" t="s">
        <v>264</v>
      </c>
      <c r="B47" s="56" t="s">
        <v>90</v>
      </c>
      <c r="C47" s="13">
        <v>9</v>
      </c>
      <c r="D47" s="13">
        <v>3670100</v>
      </c>
      <c r="E47" s="13">
        <v>1</v>
      </c>
      <c r="F47" s="13">
        <v>2.8000000000000001E-2</v>
      </c>
      <c r="G47" s="13" t="s">
        <v>99</v>
      </c>
      <c r="H47" s="13">
        <v>331</v>
      </c>
      <c r="I47" s="13" t="s">
        <v>91</v>
      </c>
      <c r="J47" s="13">
        <v>84</v>
      </c>
      <c r="K47" s="13" t="s">
        <v>249</v>
      </c>
      <c r="L47" s="13" t="s">
        <v>247</v>
      </c>
      <c r="M47" s="13"/>
      <c r="N47" s="13"/>
      <c r="O47" s="13"/>
      <c r="P47" s="13"/>
      <c r="Q47" s="13"/>
      <c r="R47" s="13"/>
      <c r="S47" s="13" t="s">
        <v>50</v>
      </c>
      <c r="T47" s="13"/>
      <c r="U47" s="13" t="s">
        <v>93</v>
      </c>
      <c r="V47" s="13"/>
      <c r="W47" s="17">
        <v>0</v>
      </c>
      <c r="Z47" t="s">
        <v>209</v>
      </c>
      <c r="AA47" t="s">
        <v>49</v>
      </c>
      <c r="AB47" t="s">
        <v>47</v>
      </c>
      <c r="AC47" t="s">
        <v>77</v>
      </c>
      <c r="AH47" t="s">
        <v>55</v>
      </c>
      <c r="AI47" t="s">
        <v>56</v>
      </c>
      <c r="AK47" s="79" t="str">
        <f t="shared" si="0"/>
        <v>5_S235_SL40034102_p9_1st_GS_1129_L</v>
      </c>
      <c r="AL47" s="39" t="s">
        <v>250</v>
      </c>
      <c r="AM47" t="s">
        <v>766</v>
      </c>
      <c r="AN47" t="s">
        <v>51</v>
      </c>
      <c r="AO47" t="s">
        <v>770</v>
      </c>
      <c r="AP47" t="s">
        <v>57</v>
      </c>
      <c r="AQ47" t="s">
        <v>265</v>
      </c>
      <c r="AR47" t="s">
        <v>266</v>
      </c>
      <c r="AS47" t="s">
        <v>782</v>
      </c>
      <c r="BV47" t="s">
        <v>788</v>
      </c>
      <c r="BX47" t="s">
        <v>101</v>
      </c>
      <c r="BY47">
        <v>5</v>
      </c>
      <c r="BZ47" t="s">
        <v>102</v>
      </c>
      <c r="CA47">
        <v>1.0122</v>
      </c>
      <c r="CB47" t="s">
        <v>103</v>
      </c>
      <c r="CH47" t="s">
        <v>103</v>
      </c>
      <c r="CI47" t="s">
        <v>212</v>
      </c>
      <c r="CJ47" t="s">
        <v>253</v>
      </c>
      <c r="CK47">
        <v>5</v>
      </c>
      <c r="CL47" t="s">
        <v>214</v>
      </c>
      <c r="CX47" s="39" t="s">
        <v>766</v>
      </c>
      <c r="CY47" s="39" t="s">
        <v>51</v>
      </c>
      <c r="CZ47" s="39" t="s">
        <v>770</v>
      </c>
      <c r="DE47" s="39" t="s">
        <v>788</v>
      </c>
      <c r="DG47" s="39" t="s">
        <v>801</v>
      </c>
    </row>
    <row r="48" spans="1:111">
      <c r="A48" s="58" t="s">
        <v>267</v>
      </c>
      <c r="B48" s="56" t="s">
        <v>90</v>
      </c>
      <c r="C48" s="13">
        <v>10</v>
      </c>
      <c r="D48" s="13">
        <v>8700</v>
      </c>
      <c r="E48" s="13">
        <v>1</v>
      </c>
      <c r="F48" s="13">
        <v>3.9E-2</v>
      </c>
      <c r="G48" s="13" t="s">
        <v>99</v>
      </c>
      <c r="H48" s="13">
        <v>125</v>
      </c>
      <c r="I48" s="13" t="s">
        <v>91</v>
      </c>
      <c r="J48" s="13">
        <v>316.5</v>
      </c>
      <c r="K48" s="13" t="s">
        <v>255</v>
      </c>
      <c r="L48" s="13" t="s">
        <v>247</v>
      </c>
      <c r="M48" s="13"/>
      <c r="N48" s="13"/>
      <c r="O48" s="13"/>
      <c r="P48" s="13"/>
      <c r="Q48" s="13"/>
      <c r="R48" s="13"/>
      <c r="S48" s="13" t="s">
        <v>50</v>
      </c>
      <c r="T48" s="13"/>
      <c r="U48" s="13" t="s">
        <v>93</v>
      </c>
      <c r="V48" s="13"/>
      <c r="W48" s="17">
        <v>0</v>
      </c>
      <c r="Z48" t="s">
        <v>209</v>
      </c>
      <c r="AA48" t="s">
        <v>49</v>
      </c>
      <c r="AB48" t="s">
        <v>47</v>
      </c>
      <c r="AC48" t="s">
        <v>77</v>
      </c>
      <c r="AH48" t="s">
        <v>55</v>
      </c>
      <c r="AI48" t="s">
        <v>56</v>
      </c>
      <c r="AK48" s="79" t="str">
        <f t="shared" si="0"/>
        <v>12_S235_SL40034102_p10_1st_S_1129_</v>
      </c>
      <c r="AM48" t="s">
        <v>19</v>
      </c>
      <c r="AO48" t="s">
        <v>768</v>
      </c>
      <c r="AP48" t="s">
        <v>57</v>
      </c>
      <c r="AQ48" t="s">
        <v>268</v>
      </c>
      <c r="AR48" t="s">
        <v>269</v>
      </c>
      <c r="AS48" t="s">
        <v>782</v>
      </c>
      <c r="BV48" t="s">
        <v>777</v>
      </c>
      <c r="BX48" t="s">
        <v>101</v>
      </c>
      <c r="BY48">
        <v>12</v>
      </c>
      <c r="BZ48" t="s">
        <v>102</v>
      </c>
      <c r="CA48">
        <v>1.0038</v>
      </c>
      <c r="CB48" t="s">
        <v>222</v>
      </c>
      <c r="CH48" t="s">
        <v>222</v>
      </c>
      <c r="CI48" t="s">
        <v>212</v>
      </c>
      <c r="CJ48" t="s">
        <v>213</v>
      </c>
      <c r="CK48">
        <v>12</v>
      </c>
      <c r="CL48" t="s">
        <v>224</v>
      </c>
      <c r="CT48" s="39" t="s">
        <v>19</v>
      </c>
      <c r="CV48" s="39" t="s">
        <v>777</v>
      </c>
      <c r="CW48" t="b">
        <f t="shared" ref="CW48:CW49" si="1">CV48=AK48</f>
        <v>1</v>
      </c>
      <c r="CZ48" s="39" t="s">
        <v>768</v>
      </c>
      <c r="DE48" s="39" t="s">
        <v>777</v>
      </c>
      <c r="DG48" s="39" t="s">
        <v>801</v>
      </c>
    </row>
    <row r="49" spans="1:111">
      <c r="A49" s="58" t="s">
        <v>270</v>
      </c>
      <c r="B49" s="56" t="s">
        <v>90</v>
      </c>
      <c r="C49" s="13">
        <v>11</v>
      </c>
      <c r="D49" s="13">
        <v>8700</v>
      </c>
      <c r="E49" s="13">
        <v>1</v>
      </c>
      <c r="F49" s="13">
        <v>6.9000000000000006E-2</v>
      </c>
      <c r="G49" s="13" t="s">
        <v>99</v>
      </c>
      <c r="H49" s="13">
        <v>494</v>
      </c>
      <c r="I49" s="13" t="s">
        <v>91</v>
      </c>
      <c r="J49" s="13">
        <v>140</v>
      </c>
      <c r="K49" s="13" t="s">
        <v>255</v>
      </c>
      <c r="L49" s="13" t="s">
        <v>247</v>
      </c>
      <c r="M49" s="13"/>
      <c r="N49" s="13"/>
      <c r="O49" s="13"/>
      <c r="P49" s="13"/>
      <c r="Q49" s="13"/>
      <c r="R49" s="13"/>
      <c r="S49" s="13" t="s">
        <v>50</v>
      </c>
      <c r="T49" s="13"/>
      <c r="U49" s="13" t="s">
        <v>93</v>
      </c>
      <c r="V49" s="13"/>
      <c r="W49" s="17">
        <v>0</v>
      </c>
      <c r="Z49" t="s">
        <v>209</v>
      </c>
      <c r="AA49" t="s">
        <v>49</v>
      </c>
      <c r="AB49" t="s">
        <v>47</v>
      </c>
      <c r="AC49" t="s">
        <v>77</v>
      </c>
      <c r="AH49" t="s">
        <v>55</v>
      </c>
      <c r="AI49" t="s">
        <v>56</v>
      </c>
      <c r="AK49" s="79" t="str">
        <f t="shared" si="0"/>
        <v>12_S235_SL40034102_p11_1st_S_1129_</v>
      </c>
      <c r="AM49" t="s">
        <v>19</v>
      </c>
      <c r="AO49" t="s">
        <v>768</v>
      </c>
      <c r="AP49" t="s">
        <v>57</v>
      </c>
      <c r="AQ49" t="s">
        <v>271</v>
      </c>
      <c r="AR49" t="s">
        <v>272</v>
      </c>
      <c r="AS49" t="s">
        <v>782</v>
      </c>
      <c r="BV49" t="s">
        <v>778</v>
      </c>
      <c r="BX49" t="s">
        <v>101</v>
      </c>
      <c r="BY49">
        <v>12</v>
      </c>
      <c r="BZ49" t="s">
        <v>102</v>
      </c>
      <c r="CA49">
        <v>1.0038</v>
      </c>
      <c r="CB49" t="s">
        <v>222</v>
      </c>
      <c r="CH49" t="s">
        <v>222</v>
      </c>
      <c r="CI49" t="s">
        <v>212</v>
      </c>
      <c r="CJ49" t="s">
        <v>213</v>
      </c>
      <c r="CK49">
        <v>12</v>
      </c>
      <c r="CL49" t="s">
        <v>224</v>
      </c>
      <c r="CT49" s="39" t="s">
        <v>19</v>
      </c>
      <c r="CV49" s="39" t="s">
        <v>778</v>
      </c>
      <c r="CW49" t="b">
        <f t="shared" si="1"/>
        <v>1</v>
      </c>
      <c r="CZ49" s="39" t="s">
        <v>768</v>
      </c>
      <c r="DE49" s="39" t="s">
        <v>778</v>
      </c>
      <c r="DG49" s="39" t="s">
        <v>801</v>
      </c>
    </row>
    <row r="50" spans="1:111" hidden="1">
      <c r="A50" s="58" t="s">
        <v>273</v>
      </c>
      <c r="B50" s="55" t="s">
        <v>86</v>
      </c>
      <c r="C50" s="15">
        <v>2</v>
      </c>
      <c r="D50" s="15" t="s">
        <v>247</v>
      </c>
      <c r="E50" s="15">
        <v>1</v>
      </c>
      <c r="F50" s="15"/>
      <c r="G50" s="15" t="s">
        <v>48</v>
      </c>
      <c r="H50" s="15"/>
      <c r="I50" s="15"/>
      <c r="J50" s="15"/>
      <c r="K50" s="15" t="s">
        <v>246</v>
      </c>
      <c r="L50" s="15" t="s">
        <v>247</v>
      </c>
      <c r="M50" s="15">
        <v>1</v>
      </c>
      <c r="N50" s="15">
        <v>0</v>
      </c>
      <c r="O50" s="13"/>
      <c r="P50" s="13"/>
      <c r="Q50" s="13"/>
      <c r="R50" s="13"/>
      <c r="S50" s="13" t="s">
        <v>50</v>
      </c>
      <c r="T50" s="13"/>
      <c r="U50" s="13" t="s">
        <v>51</v>
      </c>
      <c r="V50" s="13"/>
      <c r="W50" s="16">
        <v>37.716000000000001</v>
      </c>
      <c r="Z50" t="s">
        <v>76</v>
      </c>
      <c r="AA50" t="s">
        <v>49</v>
      </c>
      <c r="AB50" t="s">
        <v>47</v>
      </c>
      <c r="AC50" t="s">
        <v>77</v>
      </c>
      <c r="AH50" t="s">
        <v>55</v>
      </c>
      <c r="AI50" t="s">
        <v>56</v>
      </c>
      <c r="AP50" t="s">
        <v>57</v>
      </c>
      <c r="AS50" t="s">
        <v>782</v>
      </c>
      <c r="BX50" t="s">
        <v>246</v>
      </c>
    </row>
    <row r="51" spans="1:111">
      <c r="A51" s="58" t="s">
        <v>274</v>
      </c>
      <c r="B51" s="56" t="s">
        <v>90</v>
      </c>
      <c r="C51" s="13">
        <v>1</v>
      </c>
      <c r="D51" s="13">
        <v>3670100</v>
      </c>
      <c r="E51" s="13">
        <v>1</v>
      </c>
      <c r="F51" s="13">
        <v>0.68</v>
      </c>
      <c r="G51" s="13" t="s">
        <v>99</v>
      </c>
      <c r="H51" s="13">
        <v>808</v>
      </c>
      <c r="I51" s="13" t="s">
        <v>91</v>
      </c>
      <c r="J51" s="13">
        <v>842</v>
      </c>
      <c r="K51" s="13" t="s">
        <v>249</v>
      </c>
      <c r="L51" s="13" t="s">
        <v>247</v>
      </c>
      <c r="M51" s="13"/>
      <c r="N51" s="13"/>
      <c r="O51" s="13"/>
      <c r="P51" s="13"/>
      <c r="Q51" s="13"/>
      <c r="R51" s="13"/>
      <c r="S51" s="13" t="s">
        <v>50</v>
      </c>
      <c r="T51" s="13"/>
      <c r="U51" s="13" t="s">
        <v>93</v>
      </c>
      <c r="V51" s="13"/>
      <c r="W51" s="17">
        <v>0</v>
      </c>
      <c r="Z51" t="s">
        <v>209</v>
      </c>
      <c r="AA51" t="s">
        <v>49</v>
      </c>
      <c r="AB51" t="s">
        <v>47</v>
      </c>
      <c r="AC51" t="s">
        <v>77</v>
      </c>
      <c r="AH51" t="s">
        <v>55</v>
      </c>
      <c r="AI51" t="s">
        <v>56</v>
      </c>
      <c r="AK51" s="79" t="str">
        <f t="shared" ref="AK51:AK56" si="2">CK51&amp;"_"&amp;CI51&amp;"_"&amp;L51&amp;"_p"&amp;C51&amp;"_"&amp;E51&amp;"st_"&amp;AM51&amp;"_"&amp;RIGHT(AI51,4)&amp;"_"&amp;AN51</f>
        <v>5_S235_SL40034102_p1_1st_GS_1129_P</v>
      </c>
      <c r="AL51" s="39" t="s">
        <v>275</v>
      </c>
      <c r="AM51" t="s">
        <v>766</v>
      </c>
      <c r="AN51" t="s">
        <v>767</v>
      </c>
      <c r="AO51" t="s">
        <v>770</v>
      </c>
      <c r="AP51" t="s">
        <v>57</v>
      </c>
      <c r="AQ51" t="s">
        <v>276</v>
      </c>
      <c r="AR51" t="s">
        <v>277</v>
      </c>
      <c r="AS51" t="s">
        <v>782</v>
      </c>
      <c r="BV51" t="s">
        <v>789</v>
      </c>
      <c r="BX51" t="s">
        <v>101</v>
      </c>
      <c r="BY51">
        <v>5</v>
      </c>
      <c r="BZ51" t="s">
        <v>102</v>
      </c>
      <c r="CA51">
        <v>1.0122</v>
      </c>
      <c r="CB51" t="s">
        <v>103</v>
      </c>
      <c r="CH51" t="s">
        <v>103</v>
      </c>
      <c r="CI51" t="s">
        <v>212</v>
      </c>
      <c r="CJ51" t="s">
        <v>253</v>
      </c>
      <c r="CK51">
        <v>5</v>
      </c>
      <c r="CL51" t="s">
        <v>214</v>
      </c>
      <c r="CX51" s="39" t="s">
        <v>766</v>
      </c>
      <c r="CY51" s="39" t="s">
        <v>767</v>
      </c>
      <c r="CZ51" s="39" t="s">
        <v>770</v>
      </c>
      <c r="DE51" s="39" t="s">
        <v>789</v>
      </c>
      <c r="DG51" s="39" t="s">
        <v>801</v>
      </c>
    </row>
    <row r="52" spans="1:111">
      <c r="A52" s="58" t="s">
        <v>278</v>
      </c>
      <c r="B52" s="56" t="s">
        <v>90</v>
      </c>
      <c r="C52" s="13">
        <v>3</v>
      </c>
      <c r="D52" s="13">
        <v>8700</v>
      </c>
      <c r="E52" s="13">
        <v>1</v>
      </c>
      <c r="F52" s="13">
        <v>5.5E-2</v>
      </c>
      <c r="G52" s="13" t="s">
        <v>99</v>
      </c>
      <c r="H52" s="13">
        <v>85</v>
      </c>
      <c r="I52" s="13" t="s">
        <v>91</v>
      </c>
      <c r="J52" s="13">
        <v>644.5</v>
      </c>
      <c r="K52" s="13" t="s">
        <v>255</v>
      </c>
      <c r="L52" s="13" t="s">
        <v>247</v>
      </c>
      <c r="M52" s="13"/>
      <c r="N52" s="13"/>
      <c r="O52" s="13"/>
      <c r="P52" s="13"/>
      <c r="Q52" s="13"/>
      <c r="R52" s="13"/>
      <c r="S52" s="13" t="s">
        <v>50</v>
      </c>
      <c r="T52" s="13"/>
      <c r="U52" s="13" t="s">
        <v>93</v>
      </c>
      <c r="V52" s="13"/>
      <c r="W52" s="17">
        <v>0</v>
      </c>
      <c r="Z52" t="s">
        <v>209</v>
      </c>
      <c r="AA52" t="s">
        <v>49</v>
      </c>
      <c r="AB52" t="s">
        <v>47</v>
      </c>
      <c r="AC52" t="s">
        <v>77</v>
      </c>
      <c r="AH52" t="s">
        <v>55</v>
      </c>
      <c r="AI52" t="s">
        <v>56</v>
      </c>
      <c r="AK52" s="79" t="str">
        <f t="shared" si="2"/>
        <v>12_S235_SL40034102_p3_1st_S_1129_1</v>
      </c>
      <c r="AM52" t="s">
        <v>19</v>
      </c>
      <c r="AN52" t="s">
        <v>779</v>
      </c>
      <c r="AO52" t="s">
        <v>768</v>
      </c>
      <c r="AP52" t="s">
        <v>57</v>
      </c>
      <c r="AQ52" t="s">
        <v>256</v>
      </c>
      <c r="AR52" t="s">
        <v>257</v>
      </c>
      <c r="AS52" t="s">
        <v>782</v>
      </c>
      <c r="BV52" t="s">
        <v>780</v>
      </c>
      <c r="BX52" t="s">
        <v>101</v>
      </c>
      <c r="BY52">
        <v>12</v>
      </c>
      <c r="BZ52" t="s">
        <v>102</v>
      </c>
      <c r="CA52">
        <v>1.0038</v>
      </c>
      <c r="CB52" t="s">
        <v>222</v>
      </c>
      <c r="CH52" t="s">
        <v>222</v>
      </c>
      <c r="CI52" t="s">
        <v>212</v>
      </c>
      <c r="CJ52" t="s">
        <v>213</v>
      </c>
      <c r="CK52">
        <v>12</v>
      </c>
      <c r="CL52" t="s">
        <v>224</v>
      </c>
      <c r="CT52" s="39" t="s">
        <v>19</v>
      </c>
      <c r="CU52" s="39" t="s">
        <v>779</v>
      </c>
      <c r="CV52" s="39" t="s">
        <v>780</v>
      </c>
      <c r="CW52" t="b">
        <f>CV52=AK52</f>
        <v>1</v>
      </c>
      <c r="CZ52" s="39" t="s">
        <v>768</v>
      </c>
      <c r="DE52" s="39" t="s">
        <v>780</v>
      </c>
      <c r="DG52" s="39" t="s">
        <v>801</v>
      </c>
    </row>
    <row r="53" spans="1:111">
      <c r="A53" s="58" t="s">
        <v>279</v>
      </c>
      <c r="B53" s="56" t="s">
        <v>90</v>
      </c>
      <c r="C53" s="13">
        <v>4</v>
      </c>
      <c r="D53" s="13">
        <v>8700</v>
      </c>
      <c r="E53" s="13">
        <v>1</v>
      </c>
      <c r="F53" s="13">
        <v>0.13100000000000001</v>
      </c>
      <c r="G53" s="13" t="s">
        <v>99</v>
      </c>
      <c r="H53" s="13">
        <v>203</v>
      </c>
      <c r="I53" s="13" t="s">
        <v>91</v>
      </c>
      <c r="J53" s="13">
        <v>644.5</v>
      </c>
      <c r="K53" s="13" t="s">
        <v>255</v>
      </c>
      <c r="L53" s="13" t="s">
        <v>247</v>
      </c>
      <c r="M53" s="13"/>
      <c r="N53" s="13"/>
      <c r="O53" s="13"/>
      <c r="P53" s="13"/>
      <c r="Q53" s="13"/>
      <c r="R53" s="13"/>
      <c r="S53" s="13" t="s">
        <v>50</v>
      </c>
      <c r="T53" s="13"/>
      <c r="U53" s="13" t="s">
        <v>93</v>
      </c>
      <c r="V53" s="13"/>
      <c r="W53" s="17">
        <v>0</v>
      </c>
      <c r="Z53" t="s">
        <v>209</v>
      </c>
      <c r="AA53" t="s">
        <v>49</v>
      </c>
      <c r="AB53" t="s">
        <v>47</v>
      </c>
      <c r="AC53" t="s">
        <v>77</v>
      </c>
      <c r="AH53" t="s">
        <v>55</v>
      </c>
      <c r="AI53" t="s">
        <v>56</v>
      </c>
      <c r="AK53" s="79" t="str">
        <f t="shared" si="2"/>
        <v>12_S235_SL40034102_p4_1st_GS_1129_P</v>
      </c>
      <c r="AL53" s="39" t="s">
        <v>275</v>
      </c>
      <c r="AM53" t="s">
        <v>766</v>
      </c>
      <c r="AN53" t="s">
        <v>767</v>
      </c>
      <c r="AO53" t="s">
        <v>770</v>
      </c>
      <c r="AP53" t="s">
        <v>57</v>
      </c>
      <c r="AQ53" t="s">
        <v>280</v>
      </c>
      <c r="AR53" t="s">
        <v>281</v>
      </c>
      <c r="AS53" t="s">
        <v>782</v>
      </c>
      <c r="BV53" t="s">
        <v>790</v>
      </c>
      <c r="BX53" t="s">
        <v>101</v>
      </c>
      <c r="BY53">
        <v>12</v>
      </c>
      <c r="BZ53" t="s">
        <v>102</v>
      </c>
      <c r="CA53">
        <v>1.0038</v>
      </c>
      <c r="CB53" t="s">
        <v>222</v>
      </c>
      <c r="CH53" t="s">
        <v>222</v>
      </c>
      <c r="CI53" t="s">
        <v>212</v>
      </c>
      <c r="CJ53" t="s">
        <v>213</v>
      </c>
      <c r="CK53">
        <v>12</v>
      </c>
      <c r="CL53" t="s">
        <v>224</v>
      </c>
      <c r="CX53" s="39" t="s">
        <v>766</v>
      </c>
      <c r="CY53" s="39" t="s">
        <v>767</v>
      </c>
      <c r="CZ53" s="39" t="s">
        <v>770</v>
      </c>
      <c r="DE53" s="39" t="s">
        <v>790</v>
      </c>
      <c r="DG53" s="39" t="s">
        <v>801</v>
      </c>
    </row>
    <row r="54" spans="1:111">
      <c r="A54" s="58" t="s">
        <v>282</v>
      </c>
      <c r="B54" s="56" t="s">
        <v>90</v>
      </c>
      <c r="C54" s="13">
        <v>6</v>
      </c>
      <c r="D54" s="13">
        <v>8700</v>
      </c>
      <c r="E54" s="13">
        <v>1</v>
      </c>
      <c r="F54" s="13">
        <v>4.4999999999999998E-2</v>
      </c>
      <c r="G54" s="13" t="s">
        <v>99</v>
      </c>
      <c r="H54" s="13">
        <v>143</v>
      </c>
      <c r="I54" s="13" t="s">
        <v>91</v>
      </c>
      <c r="J54" s="13">
        <v>316.5</v>
      </c>
      <c r="K54" s="13" t="s">
        <v>255</v>
      </c>
      <c r="L54" s="13" t="s">
        <v>247</v>
      </c>
      <c r="M54" s="13"/>
      <c r="N54" s="13"/>
      <c r="O54" s="13"/>
      <c r="P54" s="13"/>
      <c r="Q54" s="13"/>
      <c r="R54" s="13"/>
      <c r="S54" s="13" t="s">
        <v>50</v>
      </c>
      <c r="T54" s="13"/>
      <c r="U54" s="13" t="s">
        <v>93</v>
      </c>
      <c r="V54" s="13"/>
      <c r="W54" s="17">
        <v>0</v>
      </c>
      <c r="Z54" t="s">
        <v>209</v>
      </c>
      <c r="AA54" t="s">
        <v>49</v>
      </c>
      <c r="AB54" t="s">
        <v>47</v>
      </c>
      <c r="AC54" t="s">
        <v>77</v>
      </c>
      <c r="AH54" t="s">
        <v>55</v>
      </c>
      <c r="AI54" t="s">
        <v>56</v>
      </c>
      <c r="AK54" s="79" t="str">
        <f t="shared" si="2"/>
        <v>12_S235_SL40034102_p6_1st_GS_1129_P</v>
      </c>
      <c r="AL54" s="39" t="s">
        <v>275</v>
      </c>
      <c r="AM54" t="s">
        <v>766</v>
      </c>
      <c r="AN54" t="s">
        <v>767</v>
      </c>
      <c r="AO54" t="s">
        <v>770</v>
      </c>
      <c r="AP54" t="s">
        <v>57</v>
      </c>
      <c r="AQ54" t="s">
        <v>283</v>
      </c>
      <c r="AR54" t="s">
        <v>284</v>
      </c>
      <c r="AS54" t="s">
        <v>782</v>
      </c>
      <c r="BV54" t="s">
        <v>791</v>
      </c>
      <c r="BX54" t="s">
        <v>101</v>
      </c>
      <c r="BY54">
        <v>12</v>
      </c>
      <c r="BZ54" t="s">
        <v>102</v>
      </c>
      <c r="CA54">
        <v>1.0038</v>
      </c>
      <c r="CB54" t="s">
        <v>222</v>
      </c>
      <c r="CH54" t="s">
        <v>222</v>
      </c>
      <c r="CI54" t="s">
        <v>212</v>
      </c>
      <c r="CJ54" t="s">
        <v>213</v>
      </c>
      <c r="CK54">
        <v>12</v>
      </c>
      <c r="CL54" t="s">
        <v>224</v>
      </c>
      <c r="CX54" s="39" t="s">
        <v>766</v>
      </c>
      <c r="CY54" s="39" t="s">
        <v>767</v>
      </c>
      <c r="CZ54" s="39" t="s">
        <v>770</v>
      </c>
      <c r="DE54" s="39" t="s">
        <v>791</v>
      </c>
      <c r="DG54" s="39" t="s">
        <v>801</v>
      </c>
    </row>
    <row r="55" spans="1:111">
      <c r="A55" s="58" t="s">
        <v>285</v>
      </c>
      <c r="B55" s="56" t="s">
        <v>90</v>
      </c>
      <c r="C55" s="13">
        <v>8</v>
      </c>
      <c r="D55" s="13">
        <v>3670100</v>
      </c>
      <c r="E55" s="13">
        <v>1</v>
      </c>
      <c r="F55" s="13">
        <v>2.8000000000000001E-2</v>
      </c>
      <c r="G55" s="13" t="s">
        <v>99</v>
      </c>
      <c r="H55" s="13">
        <v>331</v>
      </c>
      <c r="I55" s="13" t="s">
        <v>91</v>
      </c>
      <c r="J55" s="13">
        <v>84</v>
      </c>
      <c r="K55" s="13" t="s">
        <v>249</v>
      </c>
      <c r="L55" s="13" t="s">
        <v>247</v>
      </c>
      <c r="M55" s="13"/>
      <c r="N55" s="13"/>
      <c r="O55" s="13"/>
      <c r="P55" s="13"/>
      <c r="Q55" s="13"/>
      <c r="R55" s="13"/>
      <c r="S55" s="13" t="s">
        <v>50</v>
      </c>
      <c r="T55" s="13"/>
      <c r="U55" s="13" t="s">
        <v>93</v>
      </c>
      <c r="V55" s="13"/>
      <c r="W55" s="17">
        <v>0</v>
      </c>
      <c r="Z55" t="s">
        <v>209</v>
      </c>
      <c r="AA55" t="s">
        <v>49</v>
      </c>
      <c r="AB55" t="s">
        <v>47</v>
      </c>
      <c r="AC55" t="s">
        <v>77</v>
      </c>
      <c r="AH55" t="s">
        <v>55</v>
      </c>
      <c r="AI55" t="s">
        <v>56</v>
      </c>
      <c r="AK55" s="79" t="str">
        <f t="shared" si="2"/>
        <v>5_S235_SL40034102_p8_1st_GS_1129_P</v>
      </c>
      <c r="AL55" s="39" t="s">
        <v>275</v>
      </c>
      <c r="AM55" t="s">
        <v>766</v>
      </c>
      <c r="AN55" t="s">
        <v>767</v>
      </c>
      <c r="AO55" t="s">
        <v>770</v>
      </c>
      <c r="AP55" t="s">
        <v>57</v>
      </c>
      <c r="AQ55" t="s">
        <v>286</v>
      </c>
      <c r="AR55" t="s">
        <v>287</v>
      </c>
      <c r="AS55" t="s">
        <v>782</v>
      </c>
      <c r="BV55" t="s">
        <v>792</v>
      </c>
      <c r="BX55" t="s">
        <v>101</v>
      </c>
      <c r="BY55">
        <v>5</v>
      </c>
      <c r="BZ55" t="s">
        <v>102</v>
      </c>
      <c r="CA55">
        <v>1.0122</v>
      </c>
      <c r="CB55" t="s">
        <v>103</v>
      </c>
      <c r="CH55" t="s">
        <v>103</v>
      </c>
      <c r="CI55" t="s">
        <v>212</v>
      </c>
      <c r="CJ55" t="s">
        <v>253</v>
      </c>
      <c r="CK55">
        <v>5</v>
      </c>
      <c r="CL55" t="s">
        <v>214</v>
      </c>
      <c r="CX55" s="39" t="s">
        <v>766</v>
      </c>
      <c r="CY55" s="39" t="s">
        <v>767</v>
      </c>
      <c r="CZ55" s="39" t="s">
        <v>770</v>
      </c>
      <c r="DE55" s="39" t="s">
        <v>792</v>
      </c>
      <c r="DG55" s="39" t="s">
        <v>801</v>
      </c>
    </row>
    <row r="56" spans="1:111">
      <c r="A56" s="58" t="s">
        <v>288</v>
      </c>
      <c r="B56" s="56" t="s">
        <v>90</v>
      </c>
      <c r="C56" s="13">
        <v>10</v>
      </c>
      <c r="D56" s="13">
        <v>8700</v>
      </c>
      <c r="E56" s="13">
        <v>1</v>
      </c>
      <c r="F56" s="13">
        <v>3.9E-2</v>
      </c>
      <c r="G56" s="13" t="s">
        <v>99</v>
      </c>
      <c r="H56" s="13">
        <v>125</v>
      </c>
      <c r="I56" s="13" t="s">
        <v>91</v>
      </c>
      <c r="J56" s="13">
        <v>316.5</v>
      </c>
      <c r="K56" s="13" t="s">
        <v>255</v>
      </c>
      <c r="L56" s="13" t="s">
        <v>247</v>
      </c>
      <c r="M56" s="13"/>
      <c r="N56" s="13"/>
      <c r="O56" s="13"/>
      <c r="P56" s="13"/>
      <c r="Q56" s="13"/>
      <c r="R56" s="13"/>
      <c r="S56" s="13" t="s">
        <v>50</v>
      </c>
      <c r="T56" s="13"/>
      <c r="U56" s="13" t="s">
        <v>93</v>
      </c>
      <c r="V56" s="13"/>
      <c r="W56" s="17">
        <v>0</v>
      </c>
      <c r="Z56" t="s">
        <v>209</v>
      </c>
      <c r="AA56" t="s">
        <v>49</v>
      </c>
      <c r="AB56" t="s">
        <v>47</v>
      </c>
      <c r="AC56" t="s">
        <v>77</v>
      </c>
      <c r="AH56" t="s">
        <v>55</v>
      </c>
      <c r="AI56" t="s">
        <v>56</v>
      </c>
      <c r="AK56" s="79" t="str">
        <f t="shared" si="2"/>
        <v>12_S235_SL40034102_p10_1st_S_1129_1</v>
      </c>
      <c r="AM56" t="s">
        <v>19</v>
      </c>
      <c r="AN56" t="s">
        <v>779</v>
      </c>
      <c r="AO56" t="s">
        <v>768</v>
      </c>
      <c r="AP56" t="s">
        <v>57</v>
      </c>
      <c r="AQ56" t="s">
        <v>268</v>
      </c>
      <c r="AR56" t="s">
        <v>269</v>
      </c>
      <c r="AS56" t="s">
        <v>782</v>
      </c>
      <c r="BV56" t="s">
        <v>781</v>
      </c>
      <c r="BX56" t="s">
        <v>101</v>
      </c>
      <c r="BY56">
        <v>12</v>
      </c>
      <c r="BZ56" t="s">
        <v>102</v>
      </c>
      <c r="CA56">
        <v>1.0038</v>
      </c>
      <c r="CB56" t="s">
        <v>222</v>
      </c>
      <c r="CH56" t="s">
        <v>222</v>
      </c>
      <c r="CI56" t="s">
        <v>212</v>
      </c>
      <c r="CJ56" t="s">
        <v>213</v>
      </c>
      <c r="CK56">
        <v>12</v>
      </c>
      <c r="CL56" t="s">
        <v>224</v>
      </c>
      <c r="CT56" s="39" t="s">
        <v>19</v>
      </c>
      <c r="CU56" s="39" t="s">
        <v>779</v>
      </c>
      <c r="CV56" s="39" t="s">
        <v>781</v>
      </c>
      <c r="CW56" t="b">
        <f t="shared" ref="CW56" si="3">CV56=AK56</f>
        <v>1</v>
      </c>
      <c r="CZ56" s="39" t="s">
        <v>768</v>
      </c>
      <c r="DE56" s="39" t="s">
        <v>781</v>
      </c>
      <c r="DG56" s="39" t="s">
        <v>801</v>
      </c>
    </row>
  </sheetData>
  <autoFilter ref="A1:DH56" xr:uid="{00000000-0001-0000-0000-000000000000}">
    <filterColumn colId="36">
      <customFilters>
        <customFilter operator="notEqual" val=" "/>
      </customFilters>
    </filterColumn>
  </autoFilter>
  <conditionalFormatting sqref="AK1:AK1048576">
    <cfRule type="duplicateValues" dxfId="10" priority="1"/>
  </conditionalFormatting>
  <pageMargins left="0.75" right="0.75" top="1" bottom="1" header="0.5" footer="0.5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89"/>
  <sheetViews>
    <sheetView topLeftCell="O1" workbookViewId="0">
      <pane ySplit="1" topLeftCell="A2" activePane="bottomLeft" state="frozen"/>
      <selection pane="bottomLeft" activeCell="Q24" sqref="Q24"/>
    </sheetView>
  </sheetViews>
  <sheetFormatPr defaultRowHeight="14.4"/>
  <cols>
    <col min="1" max="1" width="39" customWidth="1"/>
    <col min="2" max="2" width="10" style="71" customWidth="1"/>
    <col min="3" max="3" width="10" customWidth="1"/>
    <col min="4" max="4" width="51.88671875" style="48" customWidth="1"/>
    <col min="5" max="5" width="11.44140625" style="68" bestFit="1" customWidth="1"/>
    <col min="7" max="7" width="51.88671875" customWidth="1"/>
    <col min="8" max="8" width="11.44140625" style="71" bestFit="1" customWidth="1"/>
    <col min="10" max="10" width="51.88671875" customWidth="1"/>
    <col min="11" max="11" width="11.44140625" style="71" bestFit="1" customWidth="1"/>
    <col min="13" max="13" width="51.88671875" customWidth="1"/>
    <col min="14" max="14" width="11.44140625" style="71" bestFit="1" customWidth="1"/>
    <col min="16" max="16" width="51.88671875" customWidth="1"/>
    <col min="17" max="17" width="11.44140625" style="71" bestFit="1" customWidth="1"/>
    <col min="19" max="19" width="51.88671875" customWidth="1"/>
    <col min="20" max="20" width="11.44140625" style="71" bestFit="1" customWidth="1"/>
    <col min="22" max="22" width="51.88671875" customWidth="1"/>
    <col min="23" max="23" width="11.44140625" style="71" bestFit="1" customWidth="1"/>
    <col min="25" max="25" width="51.88671875" customWidth="1"/>
    <col min="26" max="26" width="11.44140625" bestFit="1" customWidth="1"/>
    <col min="28" max="28" width="51.88671875" customWidth="1"/>
    <col min="29" max="29" width="11.44140625" style="71" bestFit="1" customWidth="1"/>
    <col min="31" max="31" width="51.88671875" customWidth="1"/>
    <col min="32" max="32" width="11.44140625" bestFit="1" customWidth="1"/>
    <col min="34" max="34" width="51.88671875" customWidth="1"/>
    <col min="35" max="35" width="11.44140625" style="71" bestFit="1" customWidth="1"/>
  </cols>
  <sheetData>
    <row r="1" spans="1:35">
      <c r="A1" s="72">
        <v>45681129</v>
      </c>
      <c r="D1" s="64" t="s">
        <v>713</v>
      </c>
      <c r="G1" s="64" t="s">
        <v>714</v>
      </c>
      <c r="H1" s="68"/>
      <c r="J1" s="64" t="s">
        <v>715</v>
      </c>
      <c r="K1" s="68"/>
      <c r="M1" s="64" t="s">
        <v>716</v>
      </c>
      <c r="N1" s="68"/>
      <c r="P1" s="64" t="s">
        <v>717</v>
      </c>
      <c r="Q1" s="68"/>
      <c r="S1" s="64" t="s">
        <v>718</v>
      </c>
      <c r="T1" s="68"/>
      <c r="V1" s="64" t="s">
        <v>719</v>
      </c>
      <c r="W1" s="68"/>
      <c r="Y1" s="64" t="s">
        <v>720</v>
      </c>
      <c r="Z1" s="68"/>
      <c r="AB1" s="64" t="s">
        <v>721</v>
      </c>
      <c r="AC1" s="68"/>
      <c r="AE1" s="64" t="s">
        <v>722</v>
      </c>
      <c r="AF1" s="68"/>
      <c r="AH1" s="64" t="s">
        <v>723</v>
      </c>
      <c r="AI1" s="68"/>
    </row>
    <row r="2" spans="1:35">
      <c r="G2" s="48"/>
      <c r="H2" s="68"/>
      <c r="J2" s="48"/>
      <c r="K2" s="68"/>
      <c r="M2" s="48"/>
      <c r="N2" s="68"/>
      <c r="P2" s="48"/>
      <c r="Q2" s="68"/>
      <c r="S2" s="48"/>
      <c r="T2" s="68"/>
      <c r="V2" s="48"/>
      <c r="W2" s="68"/>
      <c r="Y2" s="48"/>
      <c r="Z2" s="68"/>
      <c r="AB2" s="48"/>
      <c r="AC2" s="68"/>
      <c r="AE2" s="48"/>
      <c r="AF2" s="68"/>
      <c r="AH2" s="48"/>
      <c r="AI2" s="68"/>
    </row>
    <row r="3" spans="1:35">
      <c r="A3" s="65" t="s">
        <v>724</v>
      </c>
      <c r="B3" s="69" t="s">
        <v>725</v>
      </c>
      <c r="D3" s="65" t="s">
        <v>724</v>
      </c>
      <c r="E3" s="69" t="s">
        <v>725</v>
      </c>
      <c r="G3" s="65" t="s">
        <v>724</v>
      </c>
      <c r="H3" s="69" t="s">
        <v>725</v>
      </c>
      <c r="J3" s="65" t="s">
        <v>724</v>
      </c>
      <c r="K3" s="69" t="s">
        <v>725</v>
      </c>
      <c r="M3" s="65" t="s">
        <v>724</v>
      </c>
      <c r="N3" s="69" t="s">
        <v>725</v>
      </c>
      <c r="P3" s="65" t="s">
        <v>724</v>
      </c>
      <c r="Q3" s="69" t="s">
        <v>725</v>
      </c>
      <c r="S3" s="65" t="s">
        <v>724</v>
      </c>
      <c r="T3" s="69" t="s">
        <v>725</v>
      </c>
      <c r="V3" s="65" t="s">
        <v>724</v>
      </c>
      <c r="W3" s="69" t="s">
        <v>725</v>
      </c>
      <c r="Y3" s="65" t="s">
        <v>724</v>
      </c>
      <c r="Z3" s="69" t="s">
        <v>725</v>
      </c>
      <c r="AB3" s="65" t="s">
        <v>724</v>
      </c>
      <c r="AC3" s="69" t="s">
        <v>725</v>
      </c>
      <c r="AE3" s="65" t="s">
        <v>724</v>
      </c>
      <c r="AF3" s="69" t="s">
        <v>725</v>
      </c>
      <c r="AH3" s="65" t="s">
        <v>724</v>
      </c>
      <c r="AI3" s="69" t="s">
        <v>725</v>
      </c>
    </row>
    <row r="4" spans="1:35">
      <c r="A4" s="67" t="s">
        <v>434</v>
      </c>
      <c r="B4" s="70">
        <v>32</v>
      </c>
      <c r="D4" s="66" t="s">
        <v>451</v>
      </c>
      <c r="E4" s="70">
        <v>1</v>
      </c>
      <c r="G4" s="63" t="s">
        <v>300</v>
      </c>
      <c r="H4" s="70">
        <v>62</v>
      </c>
      <c r="J4" s="63" t="s">
        <v>451</v>
      </c>
      <c r="K4" s="70">
        <v>3</v>
      </c>
      <c r="M4" s="67" t="s">
        <v>406</v>
      </c>
      <c r="N4" s="70">
        <v>2</v>
      </c>
      <c r="P4" s="63" t="s">
        <v>451</v>
      </c>
      <c r="Q4" s="70">
        <v>2</v>
      </c>
      <c r="S4" s="63" t="s">
        <v>300</v>
      </c>
      <c r="T4" s="70">
        <v>16</v>
      </c>
      <c r="V4" s="63" t="s">
        <v>451</v>
      </c>
      <c r="W4" s="70">
        <v>2</v>
      </c>
      <c r="Y4" s="63" t="s">
        <v>300</v>
      </c>
      <c r="Z4" s="70">
        <v>16</v>
      </c>
      <c r="AB4" s="63" t="s">
        <v>451</v>
      </c>
      <c r="AC4" s="70">
        <v>2</v>
      </c>
      <c r="AE4" s="63" t="s">
        <v>300</v>
      </c>
      <c r="AF4" s="70">
        <v>16</v>
      </c>
      <c r="AH4" s="63" t="s">
        <v>451</v>
      </c>
      <c r="AI4" s="70">
        <v>2</v>
      </c>
    </row>
    <row r="5" spans="1:35">
      <c r="A5" s="67" t="s">
        <v>668</v>
      </c>
      <c r="B5" s="70">
        <v>10</v>
      </c>
      <c r="D5" s="66" t="s">
        <v>392</v>
      </c>
      <c r="E5" s="70">
        <v>8</v>
      </c>
      <c r="G5" s="63" t="s">
        <v>404</v>
      </c>
      <c r="H5" s="70">
        <v>4</v>
      </c>
      <c r="J5" s="63" t="s">
        <v>670</v>
      </c>
      <c r="K5" s="70">
        <v>4</v>
      </c>
      <c r="M5" s="67" t="s">
        <v>159</v>
      </c>
      <c r="N5" s="70">
        <v>2</v>
      </c>
      <c r="P5" s="63" t="s">
        <v>392</v>
      </c>
      <c r="Q5" s="70">
        <v>8</v>
      </c>
      <c r="S5" s="63" t="s">
        <v>435</v>
      </c>
      <c r="T5" s="70">
        <v>8</v>
      </c>
      <c r="V5" s="63" t="s">
        <v>392</v>
      </c>
      <c r="W5" s="70">
        <v>8</v>
      </c>
      <c r="Y5" s="63" t="s">
        <v>435</v>
      </c>
      <c r="Z5" s="70">
        <v>8</v>
      </c>
      <c r="AB5" s="63" t="s">
        <v>392</v>
      </c>
      <c r="AC5" s="70">
        <v>8</v>
      </c>
      <c r="AE5" s="63" t="s">
        <v>435</v>
      </c>
      <c r="AF5" s="70">
        <v>8</v>
      </c>
      <c r="AH5" s="63" t="s">
        <v>392</v>
      </c>
      <c r="AI5" s="70">
        <v>8</v>
      </c>
    </row>
    <row r="6" spans="1:35">
      <c r="A6" s="67" t="s">
        <v>318</v>
      </c>
      <c r="B6" s="70">
        <v>60</v>
      </c>
      <c r="D6" s="66" t="s">
        <v>369</v>
      </c>
      <c r="E6" s="70">
        <v>8</v>
      </c>
      <c r="G6" s="63" t="s">
        <v>435</v>
      </c>
      <c r="H6" s="70">
        <v>8</v>
      </c>
      <c r="J6" s="63" t="s">
        <v>678</v>
      </c>
      <c r="K6" s="70">
        <v>8</v>
      </c>
      <c r="M6" s="67" t="s">
        <v>404</v>
      </c>
      <c r="N6" s="70">
        <v>4</v>
      </c>
      <c r="P6" s="63" t="s">
        <v>384</v>
      </c>
      <c r="Q6" s="70">
        <v>4</v>
      </c>
      <c r="S6" s="63" t="s">
        <v>306</v>
      </c>
      <c r="T6" s="70">
        <v>16</v>
      </c>
      <c r="V6" s="63" t="s">
        <v>384</v>
      </c>
      <c r="W6" s="70">
        <v>4</v>
      </c>
      <c r="Y6" s="63" t="s">
        <v>306</v>
      </c>
      <c r="Z6" s="70">
        <v>16</v>
      </c>
      <c r="AB6" s="63" t="s">
        <v>384</v>
      </c>
      <c r="AC6" s="70">
        <v>4</v>
      </c>
      <c r="AE6" s="63" t="s">
        <v>306</v>
      </c>
      <c r="AF6" s="70">
        <v>16</v>
      </c>
      <c r="AH6" s="63" t="s">
        <v>384</v>
      </c>
      <c r="AI6" s="70">
        <v>4</v>
      </c>
    </row>
    <row r="7" spans="1:35">
      <c r="D7" s="66" t="s">
        <v>384</v>
      </c>
      <c r="E7" s="70">
        <v>22</v>
      </c>
      <c r="G7" s="63" t="s">
        <v>306</v>
      </c>
      <c r="H7" s="70">
        <v>48</v>
      </c>
      <c r="J7" s="63" t="s">
        <v>705</v>
      </c>
      <c r="K7" s="70">
        <v>10</v>
      </c>
      <c r="P7" s="63" t="s">
        <v>393</v>
      </c>
      <c r="Q7" s="70">
        <v>16</v>
      </c>
      <c r="S7" s="63" t="s">
        <v>299</v>
      </c>
      <c r="T7" s="70">
        <v>16</v>
      </c>
      <c r="V7" s="63" t="s">
        <v>393</v>
      </c>
      <c r="W7" s="70">
        <v>16</v>
      </c>
      <c r="Y7" s="63" t="s">
        <v>299</v>
      </c>
      <c r="Z7" s="70">
        <v>16</v>
      </c>
      <c r="AB7" s="63" t="s">
        <v>393</v>
      </c>
      <c r="AC7" s="70">
        <v>16</v>
      </c>
      <c r="AE7" s="63" t="s">
        <v>299</v>
      </c>
      <c r="AF7" s="70">
        <v>16</v>
      </c>
      <c r="AH7" s="63" t="s">
        <v>583</v>
      </c>
      <c r="AI7" s="70">
        <v>2</v>
      </c>
    </row>
    <row r="8" spans="1:35">
      <c r="D8" s="66" t="s">
        <v>393</v>
      </c>
      <c r="E8" s="70">
        <v>40</v>
      </c>
      <c r="G8" s="63" t="s">
        <v>378</v>
      </c>
      <c r="H8" s="70">
        <v>24</v>
      </c>
      <c r="J8" s="63" t="s">
        <v>702</v>
      </c>
      <c r="K8" s="70">
        <v>2</v>
      </c>
      <c r="P8" s="63" t="s">
        <v>458</v>
      </c>
      <c r="Q8" s="70">
        <v>2</v>
      </c>
      <c r="S8" s="63" t="s">
        <v>394</v>
      </c>
      <c r="T8" s="70">
        <v>16</v>
      </c>
      <c r="V8" s="63" t="s">
        <v>458</v>
      </c>
      <c r="W8" s="70">
        <v>2</v>
      </c>
      <c r="Y8" s="63" t="s">
        <v>394</v>
      </c>
      <c r="Z8" s="70">
        <v>16</v>
      </c>
      <c r="AB8" s="63" t="s">
        <v>458</v>
      </c>
      <c r="AC8" s="70">
        <v>2</v>
      </c>
      <c r="AE8" s="63" t="s">
        <v>394</v>
      </c>
      <c r="AF8" s="70">
        <v>16</v>
      </c>
      <c r="AH8" s="63" t="s">
        <v>393</v>
      </c>
      <c r="AI8" s="70">
        <v>16</v>
      </c>
    </row>
    <row r="9" spans="1:35">
      <c r="D9" s="66" t="s">
        <v>348</v>
      </c>
      <c r="E9" s="70" t="s">
        <v>726</v>
      </c>
      <c r="G9" s="63" t="s">
        <v>299</v>
      </c>
      <c r="H9" s="70">
        <v>40</v>
      </c>
      <c r="J9" s="63" t="s">
        <v>707</v>
      </c>
      <c r="K9" s="70">
        <v>2</v>
      </c>
      <c r="P9" s="63" t="s">
        <v>412</v>
      </c>
      <c r="Q9" s="70">
        <v>16</v>
      </c>
      <c r="S9" s="63" t="s">
        <v>436</v>
      </c>
      <c r="T9" s="70">
        <v>4</v>
      </c>
      <c r="V9" s="63" t="s">
        <v>412</v>
      </c>
      <c r="W9" s="70">
        <v>16</v>
      </c>
      <c r="Y9" s="63" t="s">
        <v>436</v>
      </c>
      <c r="Z9" s="70">
        <v>4</v>
      </c>
      <c r="AB9" s="63" t="s">
        <v>412</v>
      </c>
      <c r="AC9" s="70">
        <v>16</v>
      </c>
      <c r="AE9" s="63" t="s">
        <v>436</v>
      </c>
      <c r="AF9" s="70">
        <v>4</v>
      </c>
      <c r="AH9" s="63" t="s">
        <v>600</v>
      </c>
      <c r="AI9" s="70">
        <v>30</v>
      </c>
    </row>
    <row r="10" spans="1:35" ht="45" customHeight="1">
      <c r="D10" s="66" t="s">
        <v>458</v>
      </c>
      <c r="E10" s="70">
        <v>1</v>
      </c>
      <c r="G10" s="63" t="s">
        <v>159</v>
      </c>
      <c r="H10" s="70">
        <v>14</v>
      </c>
      <c r="J10" s="63" t="s">
        <v>710</v>
      </c>
      <c r="K10" s="70">
        <v>1</v>
      </c>
      <c r="P10" s="63" t="s">
        <v>368</v>
      </c>
      <c r="Q10" s="70">
        <v>4</v>
      </c>
      <c r="V10" s="63" t="s">
        <v>368</v>
      </c>
      <c r="W10" s="70">
        <v>4</v>
      </c>
      <c r="AB10" s="63" t="s">
        <v>368</v>
      </c>
      <c r="AC10" s="70">
        <v>4</v>
      </c>
      <c r="AH10" s="63" t="s">
        <v>458</v>
      </c>
      <c r="AI10" s="70">
        <v>2</v>
      </c>
    </row>
    <row r="11" spans="1:35">
      <c r="D11" s="66" t="s">
        <v>412</v>
      </c>
      <c r="E11" s="70">
        <v>8</v>
      </c>
      <c r="G11" s="63" t="s">
        <v>298</v>
      </c>
      <c r="H11" s="70">
        <v>16</v>
      </c>
      <c r="J11" s="63" t="s">
        <v>712</v>
      </c>
      <c r="K11" s="70">
        <v>8</v>
      </c>
      <c r="P11" s="63" t="s">
        <v>473</v>
      </c>
      <c r="Q11" s="70">
        <v>23</v>
      </c>
      <c r="V11" s="63" t="s">
        <v>473</v>
      </c>
      <c r="W11" s="70">
        <v>23</v>
      </c>
      <c r="AB11" s="63" t="s">
        <v>473</v>
      </c>
      <c r="AC11" s="70">
        <v>23</v>
      </c>
      <c r="AH11" s="63" t="s">
        <v>412</v>
      </c>
      <c r="AI11" s="70">
        <v>16</v>
      </c>
    </row>
    <row r="12" spans="1:35">
      <c r="D12" s="66" t="s">
        <v>368</v>
      </c>
      <c r="E12" s="70">
        <v>4</v>
      </c>
      <c r="G12" s="63" t="s">
        <v>302</v>
      </c>
      <c r="H12" s="70">
        <v>8</v>
      </c>
      <c r="J12" s="63" t="s">
        <v>682</v>
      </c>
      <c r="K12" s="70">
        <v>16</v>
      </c>
      <c r="P12" s="63" t="s">
        <v>398</v>
      </c>
      <c r="Q12" s="70">
        <v>64</v>
      </c>
      <c r="V12" s="63" t="s">
        <v>398</v>
      </c>
      <c r="W12" s="70">
        <v>64</v>
      </c>
      <c r="AB12" s="63" t="s">
        <v>398</v>
      </c>
      <c r="AC12" s="70">
        <v>64</v>
      </c>
      <c r="AH12" s="63" t="s">
        <v>368</v>
      </c>
      <c r="AI12" s="70">
        <v>4</v>
      </c>
    </row>
    <row r="13" spans="1:35">
      <c r="D13" s="66" t="s">
        <v>473</v>
      </c>
      <c r="E13" s="70">
        <v>2</v>
      </c>
      <c r="G13" s="63" t="s">
        <v>356</v>
      </c>
      <c r="H13" s="70">
        <v>16</v>
      </c>
      <c r="J13" s="63" t="s">
        <v>368</v>
      </c>
      <c r="K13" s="70">
        <v>10</v>
      </c>
      <c r="P13" s="63" t="s">
        <v>292</v>
      </c>
      <c r="Q13" s="70">
        <v>154</v>
      </c>
      <c r="V13" s="63" t="s">
        <v>292</v>
      </c>
      <c r="W13" s="70">
        <v>154</v>
      </c>
      <c r="AB13" s="63" t="s">
        <v>292</v>
      </c>
      <c r="AC13" s="70">
        <v>154</v>
      </c>
      <c r="AH13" s="63" t="s">
        <v>473</v>
      </c>
      <c r="AI13" s="70">
        <v>23</v>
      </c>
    </row>
    <row r="14" spans="1:35">
      <c r="D14" s="66" t="s">
        <v>467</v>
      </c>
      <c r="E14" s="70">
        <v>70</v>
      </c>
      <c r="G14" s="63" t="s">
        <v>406</v>
      </c>
      <c r="H14" s="70">
        <v>14</v>
      </c>
      <c r="J14" s="63" t="s">
        <v>473</v>
      </c>
      <c r="K14" s="70">
        <v>2</v>
      </c>
      <c r="P14" s="63" t="s">
        <v>443</v>
      </c>
      <c r="Q14" s="70">
        <v>8</v>
      </c>
      <c r="V14" s="63" t="s">
        <v>443</v>
      </c>
      <c r="W14" s="70">
        <v>8</v>
      </c>
      <c r="AB14" s="63" t="s">
        <v>443</v>
      </c>
      <c r="AC14" s="70">
        <v>8</v>
      </c>
      <c r="AH14" s="63" t="s">
        <v>602</v>
      </c>
      <c r="AI14" s="70">
        <v>40</v>
      </c>
    </row>
    <row r="15" spans="1:35">
      <c r="D15" s="66" t="s">
        <v>376</v>
      </c>
      <c r="E15" s="70">
        <v>8</v>
      </c>
      <c r="G15" s="63" t="s">
        <v>436</v>
      </c>
      <c r="H15" s="70">
        <v>4</v>
      </c>
      <c r="J15" s="63" t="s">
        <v>467</v>
      </c>
      <c r="K15" s="70">
        <v>10</v>
      </c>
      <c r="P15" s="63" t="s">
        <v>546</v>
      </c>
      <c r="Q15" s="70">
        <v>16</v>
      </c>
      <c r="V15" s="63" t="s">
        <v>546</v>
      </c>
      <c r="W15" s="70">
        <v>16</v>
      </c>
      <c r="AB15" s="63" t="s">
        <v>546</v>
      </c>
      <c r="AC15" s="70">
        <v>16</v>
      </c>
      <c r="AH15" s="63" t="s">
        <v>398</v>
      </c>
      <c r="AI15" s="70">
        <v>64</v>
      </c>
    </row>
    <row r="16" spans="1:35">
      <c r="D16" s="66" t="s">
        <v>398</v>
      </c>
      <c r="E16" s="70">
        <v>64</v>
      </c>
      <c r="J16" s="63" t="s">
        <v>398</v>
      </c>
      <c r="K16" s="70">
        <v>217</v>
      </c>
      <c r="P16" s="63" t="s">
        <v>300</v>
      </c>
      <c r="Q16" s="70">
        <v>239</v>
      </c>
      <c r="V16" s="63" t="s">
        <v>300</v>
      </c>
      <c r="W16" s="70">
        <v>239</v>
      </c>
      <c r="AB16" s="63" t="s">
        <v>300</v>
      </c>
      <c r="AC16" s="70">
        <v>239</v>
      </c>
      <c r="AH16" s="63" t="s">
        <v>292</v>
      </c>
      <c r="AI16" s="70">
        <v>154</v>
      </c>
    </row>
    <row r="17" spans="4:35">
      <c r="D17" s="66" t="s">
        <v>292</v>
      </c>
      <c r="E17" s="70">
        <v>374</v>
      </c>
      <c r="J17" s="63" t="s">
        <v>292</v>
      </c>
      <c r="K17" s="70">
        <v>22</v>
      </c>
      <c r="P17" s="63" t="s">
        <v>405</v>
      </c>
      <c r="Q17" s="70">
        <v>48</v>
      </c>
      <c r="V17" s="63" t="s">
        <v>405</v>
      </c>
      <c r="W17" s="70">
        <v>48</v>
      </c>
      <c r="AB17" s="63" t="s">
        <v>405</v>
      </c>
      <c r="AC17" s="70">
        <v>48</v>
      </c>
      <c r="AH17" s="63" t="s">
        <v>443</v>
      </c>
      <c r="AI17" s="70">
        <v>8</v>
      </c>
    </row>
    <row r="18" spans="4:35">
      <c r="D18" s="66" t="s">
        <v>443</v>
      </c>
      <c r="E18" s="70">
        <v>4</v>
      </c>
      <c r="J18" s="63" t="s">
        <v>660</v>
      </c>
      <c r="K18" s="70">
        <v>4</v>
      </c>
      <c r="P18" s="63" t="s">
        <v>444</v>
      </c>
      <c r="Q18" s="70">
        <v>8</v>
      </c>
      <c r="V18" s="63" t="s">
        <v>444</v>
      </c>
      <c r="W18" s="70">
        <v>8</v>
      </c>
      <c r="AB18" s="63" t="s">
        <v>444</v>
      </c>
      <c r="AC18" s="70">
        <v>8</v>
      </c>
      <c r="AH18" s="63" t="s">
        <v>546</v>
      </c>
      <c r="AI18" s="70">
        <v>16</v>
      </c>
    </row>
    <row r="19" spans="4:35">
      <c r="D19" s="66" t="s">
        <v>300</v>
      </c>
      <c r="E19" s="70">
        <v>590</v>
      </c>
      <c r="J19" s="63" t="s">
        <v>300</v>
      </c>
      <c r="K19" s="70">
        <v>142</v>
      </c>
      <c r="P19" s="63" t="s">
        <v>509</v>
      </c>
      <c r="Q19" s="70">
        <v>4</v>
      </c>
      <c r="V19" s="63" t="s">
        <v>509</v>
      </c>
      <c r="W19" s="70">
        <v>4</v>
      </c>
      <c r="AB19" s="63" t="s">
        <v>509</v>
      </c>
      <c r="AC19" s="70">
        <v>4</v>
      </c>
      <c r="AH19" s="63" t="s">
        <v>300</v>
      </c>
      <c r="AI19" s="70">
        <v>239</v>
      </c>
    </row>
    <row r="20" spans="4:35">
      <c r="D20" s="66" t="s">
        <v>405</v>
      </c>
      <c r="E20" s="70">
        <v>200</v>
      </c>
      <c r="J20" s="63" t="s">
        <v>405</v>
      </c>
      <c r="K20" s="70">
        <v>55</v>
      </c>
      <c r="P20" s="63" t="s">
        <v>230</v>
      </c>
      <c r="Q20" s="70">
        <v>76</v>
      </c>
      <c r="V20" s="63" t="s">
        <v>230</v>
      </c>
      <c r="W20" s="70">
        <v>76</v>
      </c>
      <c r="AB20" s="63" t="s">
        <v>230</v>
      </c>
      <c r="AC20" s="70">
        <v>76</v>
      </c>
      <c r="AH20" s="63" t="s">
        <v>405</v>
      </c>
      <c r="AI20" s="70">
        <v>86</v>
      </c>
    </row>
    <row r="21" spans="4:35">
      <c r="D21" s="66" t="s">
        <v>444</v>
      </c>
      <c r="E21" s="70">
        <v>4</v>
      </c>
      <c r="J21" s="63" t="s">
        <v>686</v>
      </c>
      <c r="K21" s="70">
        <v>48</v>
      </c>
      <c r="P21" s="63" t="s">
        <v>535</v>
      </c>
      <c r="Q21" s="70">
        <v>4</v>
      </c>
      <c r="V21" s="63" t="s">
        <v>535</v>
      </c>
      <c r="W21" s="70">
        <v>4</v>
      </c>
      <c r="AB21" s="63" t="s">
        <v>535</v>
      </c>
      <c r="AC21" s="70">
        <v>4</v>
      </c>
      <c r="AH21" s="63" t="s">
        <v>444</v>
      </c>
      <c r="AI21" s="70">
        <v>8</v>
      </c>
    </row>
    <row r="22" spans="4:35">
      <c r="D22" s="66" t="s">
        <v>230</v>
      </c>
      <c r="E22" s="70">
        <v>271</v>
      </c>
      <c r="J22" s="63" t="s">
        <v>662</v>
      </c>
      <c r="K22" s="70">
        <v>4</v>
      </c>
      <c r="P22" s="63" t="s">
        <v>336</v>
      </c>
      <c r="Q22" s="70">
        <v>4</v>
      </c>
      <c r="V22" s="63" t="s">
        <v>336</v>
      </c>
      <c r="W22" s="70">
        <v>4</v>
      </c>
      <c r="AB22" s="63" t="s">
        <v>336</v>
      </c>
      <c r="AC22" s="70">
        <v>4</v>
      </c>
      <c r="AH22" s="63" t="s">
        <v>509</v>
      </c>
      <c r="AI22" s="70">
        <v>4</v>
      </c>
    </row>
    <row r="23" spans="4:35">
      <c r="D23" s="66" t="s">
        <v>396</v>
      </c>
      <c r="E23" s="70">
        <v>252</v>
      </c>
      <c r="J23" s="63" t="s">
        <v>671</v>
      </c>
      <c r="K23" s="70">
        <v>68</v>
      </c>
      <c r="P23" s="63" t="s">
        <v>530</v>
      </c>
      <c r="Q23" s="70">
        <v>4</v>
      </c>
      <c r="V23" s="63" t="s">
        <v>530</v>
      </c>
      <c r="W23" s="70">
        <v>4</v>
      </c>
      <c r="AB23" s="63" t="s">
        <v>530</v>
      </c>
      <c r="AC23" s="70">
        <v>4</v>
      </c>
      <c r="AH23" s="63" t="s">
        <v>230</v>
      </c>
      <c r="AI23" s="70">
        <v>76</v>
      </c>
    </row>
    <row r="24" spans="4:35">
      <c r="D24" s="66" t="s">
        <v>336</v>
      </c>
      <c r="E24" s="70">
        <v>4</v>
      </c>
      <c r="J24" s="63" t="s">
        <v>230</v>
      </c>
      <c r="K24" s="70">
        <v>88</v>
      </c>
      <c r="P24" s="63" t="s">
        <v>404</v>
      </c>
      <c r="Q24" s="70">
        <v>4</v>
      </c>
      <c r="V24" s="63" t="s">
        <v>404</v>
      </c>
      <c r="W24" s="70">
        <v>4</v>
      </c>
      <c r="AB24" s="63" t="s">
        <v>404</v>
      </c>
      <c r="AC24" s="70">
        <v>4</v>
      </c>
      <c r="AH24" s="63" t="s">
        <v>535</v>
      </c>
      <c r="AI24" s="70">
        <v>4</v>
      </c>
    </row>
    <row r="25" spans="4:35">
      <c r="D25" s="66" t="s">
        <v>404</v>
      </c>
      <c r="E25" s="70">
        <v>72</v>
      </c>
      <c r="J25" s="63" t="s">
        <v>404</v>
      </c>
      <c r="K25" s="70">
        <v>8</v>
      </c>
      <c r="P25" s="63" t="s">
        <v>240</v>
      </c>
      <c r="Q25" s="70">
        <v>12</v>
      </c>
      <c r="V25" s="63" t="s">
        <v>240</v>
      </c>
      <c r="W25" s="70">
        <v>12</v>
      </c>
      <c r="AB25" s="63" t="s">
        <v>240</v>
      </c>
      <c r="AC25" s="70">
        <v>12</v>
      </c>
      <c r="AH25" s="63" t="s">
        <v>336</v>
      </c>
      <c r="AI25" s="70">
        <v>4</v>
      </c>
    </row>
    <row r="26" spans="4:35">
      <c r="D26" s="66" t="s">
        <v>163</v>
      </c>
      <c r="E26" s="70">
        <v>8</v>
      </c>
      <c r="J26" s="63" t="s">
        <v>664</v>
      </c>
      <c r="K26" s="70">
        <v>6</v>
      </c>
      <c r="P26" s="63" t="s">
        <v>297</v>
      </c>
      <c r="Q26" s="70">
        <v>32</v>
      </c>
      <c r="V26" s="63" t="s">
        <v>297</v>
      </c>
      <c r="W26" s="70">
        <v>32</v>
      </c>
      <c r="AB26" s="63" t="s">
        <v>297</v>
      </c>
      <c r="AC26" s="70">
        <v>32</v>
      </c>
      <c r="AH26" s="63" t="s">
        <v>530</v>
      </c>
      <c r="AI26" s="70">
        <v>4</v>
      </c>
    </row>
    <row r="27" spans="4:35">
      <c r="D27" s="66" t="s">
        <v>407</v>
      </c>
      <c r="E27" s="70">
        <v>8</v>
      </c>
      <c r="J27" s="63" t="s">
        <v>306</v>
      </c>
      <c r="K27" s="70">
        <v>8</v>
      </c>
      <c r="P27" s="63" t="s">
        <v>306</v>
      </c>
      <c r="Q27" s="70">
        <v>232</v>
      </c>
      <c r="V27" s="63" t="s">
        <v>306</v>
      </c>
      <c r="W27" s="70">
        <v>232</v>
      </c>
      <c r="AB27" s="63" t="s">
        <v>306</v>
      </c>
      <c r="AC27" s="70">
        <v>232</v>
      </c>
      <c r="AH27" s="63" t="s">
        <v>404</v>
      </c>
      <c r="AI27" s="70">
        <v>18</v>
      </c>
    </row>
    <row r="28" spans="4:35">
      <c r="D28" s="66" t="s">
        <v>240</v>
      </c>
      <c r="E28" s="70">
        <v>4</v>
      </c>
      <c r="J28" s="63" t="s">
        <v>317</v>
      </c>
      <c r="K28" s="70">
        <v>4</v>
      </c>
      <c r="P28" s="63" t="s">
        <v>399</v>
      </c>
      <c r="Q28" s="70">
        <v>8</v>
      </c>
      <c r="V28" s="63" t="s">
        <v>399</v>
      </c>
      <c r="W28" s="70">
        <v>8</v>
      </c>
      <c r="AB28" s="63" t="s">
        <v>399</v>
      </c>
      <c r="AC28" s="70">
        <v>8</v>
      </c>
      <c r="AH28" s="63" t="s">
        <v>576</v>
      </c>
      <c r="AI28" s="70">
        <v>4</v>
      </c>
    </row>
    <row r="29" spans="4:35">
      <c r="D29" s="66" t="s">
        <v>310</v>
      </c>
      <c r="E29" s="70">
        <v>12</v>
      </c>
      <c r="J29" s="63" t="s">
        <v>635</v>
      </c>
      <c r="K29" s="70">
        <v>4</v>
      </c>
      <c r="P29" s="63" t="s">
        <v>317</v>
      </c>
      <c r="Q29" s="70">
        <v>4</v>
      </c>
      <c r="V29" s="63" t="s">
        <v>317</v>
      </c>
      <c r="W29" s="70">
        <v>4</v>
      </c>
      <c r="AB29" s="63" t="s">
        <v>317</v>
      </c>
      <c r="AC29" s="70">
        <v>4</v>
      </c>
      <c r="AH29" s="63" t="s">
        <v>240</v>
      </c>
      <c r="AI29" s="70">
        <v>12</v>
      </c>
    </row>
    <row r="30" spans="4:35">
      <c r="D30" s="66" t="s">
        <v>297</v>
      </c>
      <c r="E30" s="70">
        <v>64</v>
      </c>
      <c r="J30" s="63" t="s">
        <v>411</v>
      </c>
      <c r="K30" s="70">
        <v>4</v>
      </c>
      <c r="P30" s="63" t="s">
        <v>411</v>
      </c>
      <c r="Q30" s="70">
        <v>8</v>
      </c>
      <c r="V30" s="63" t="s">
        <v>411</v>
      </c>
      <c r="W30" s="70">
        <v>8</v>
      </c>
      <c r="AB30" s="63" t="s">
        <v>411</v>
      </c>
      <c r="AC30" s="70">
        <v>8</v>
      </c>
      <c r="AH30" s="63" t="s">
        <v>573</v>
      </c>
      <c r="AI30" s="70">
        <v>4</v>
      </c>
    </row>
    <row r="31" spans="4:35">
      <c r="D31" s="66" t="s">
        <v>306</v>
      </c>
      <c r="E31" s="70">
        <v>320</v>
      </c>
      <c r="J31" s="63" t="s">
        <v>474</v>
      </c>
      <c r="K31" s="70">
        <v>10</v>
      </c>
      <c r="P31" s="63" t="s">
        <v>474</v>
      </c>
      <c r="Q31" s="70">
        <v>23</v>
      </c>
      <c r="V31" s="63" t="s">
        <v>474</v>
      </c>
      <c r="W31" s="70">
        <v>23</v>
      </c>
      <c r="AB31" s="63" t="s">
        <v>474</v>
      </c>
      <c r="AC31" s="70">
        <v>23</v>
      </c>
      <c r="AH31" s="63" t="s">
        <v>592</v>
      </c>
      <c r="AI31" s="70">
        <v>1</v>
      </c>
    </row>
    <row r="32" spans="4:35">
      <c r="D32" s="66" t="s">
        <v>399</v>
      </c>
      <c r="E32" s="70">
        <v>32</v>
      </c>
      <c r="J32" s="63" t="s">
        <v>309</v>
      </c>
      <c r="K32" s="70">
        <v>6</v>
      </c>
      <c r="P32" s="63" t="s">
        <v>291</v>
      </c>
      <c r="Q32" s="70">
        <v>143</v>
      </c>
      <c r="V32" s="63" t="s">
        <v>291</v>
      </c>
      <c r="W32" s="70">
        <v>143</v>
      </c>
      <c r="AB32" s="63" t="s">
        <v>291</v>
      </c>
      <c r="AC32" s="70">
        <v>143</v>
      </c>
      <c r="AH32" s="63" t="s">
        <v>297</v>
      </c>
      <c r="AI32" s="70">
        <v>32</v>
      </c>
    </row>
    <row r="33" spans="4:35">
      <c r="D33" s="66" t="s">
        <v>378</v>
      </c>
      <c r="E33" s="70">
        <v>168</v>
      </c>
      <c r="J33" s="63" t="s">
        <v>668</v>
      </c>
      <c r="K33" s="70">
        <v>2</v>
      </c>
      <c r="P33" s="63" t="s">
        <v>409</v>
      </c>
      <c r="Q33" s="70">
        <v>4</v>
      </c>
      <c r="V33" s="63" t="s">
        <v>409</v>
      </c>
      <c r="W33" s="70">
        <v>4</v>
      </c>
      <c r="AB33" s="63" t="s">
        <v>409</v>
      </c>
      <c r="AC33" s="70">
        <v>4</v>
      </c>
      <c r="AH33" s="63" t="s">
        <v>306</v>
      </c>
      <c r="AI33" s="70">
        <v>232</v>
      </c>
    </row>
    <row r="34" spans="4:35">
      <c r="D34" s="66" t="s">
        <v>323</v>
      </c>
      <c r="E34" s="70">
        <v>4</v>
      </c>
      <c r="J34" s="63" t="s">
        <v>291</v>
      </c>
      <c r="K34" s="70">
        <v>221</v>
      </c>
      <c r="P34" s="63" t="s">
        <v>318</v>
      </c>
      <c r="Q34" s="70">
        <v>6</v>
      </c>
      <c r="V34" s="63" t="s">
        <v>318</v>
      </c>
      <c r="W34" s="70">
        <v>6</v>
      </c>
      <c r="AB34" s="63" t="s">
        <v>318</v>
      </c>
      <c r="AC34" s="70">
        <v>6</v>
      </c>
      <c r="AH34" s="63" t="s">
        <v>399</v>
      </c>
      <c r="AI34" s="70">
        <v>8</v>
      </c>
    </row>
    <row r="35" spans="4:35">
      <c r="D35" s="66" t="s">
        <v>317</v>
      </c>
      <c r="E35" s="70">
        <v>4</v>
      </c>
      <c r="J35" s="63" t="s">
        <v>675</v>
      </c>
      <c r="K35" s="70">
        <v>22</v>
      </c>
      <c r="P35" s="63" t="s">
        <v>529</v>
      </c>
      <c r="Q35" s="70">
        <v>24</v>
      </c>
      <c r="V35" s="63" t="s">
        <v>529</v>
      </c>
      <c r="W35" s="70">
        <v>24</v>
      </c>
      <c r="AB35" s="63" t="s">
        <v>529</v>
      </c>
      <c r="AC35" s="70">
        <v>24</v>
      </c>
      <c r="AH35" s="63" t="s">
        <v>317</v>
      </c>
      <c r="AI35" s="70">
        <v>4</v>
      </c>
    </row>
    <row r="36" spans="4:35">
      <c r="D36" s="66" t="s">
        <v>411</v>
      </c>
      <c r="E36" s="70">
        <v>4</v>
      </c>
      <c r="J36" s="63" t="s">
        <v>627</v>
      </c>
      <c r="K36" s="70">
        <v>24</v>
      </c>
      <c r="P36" s="63" t="s">
        <v>545</v>
      </c>
      <c r="Q36" s="70">
        <v>8</v>
      </c>
      <c r="V36" s="63" t="s">
        <v>545</v>
      </c>
      <c r="W36" s="70">
        <v>8</v>
      </c>
      <c r="AB36" s="63" t="s">
        <v>545</v>
      </c>
      <c r="AC36" s="70">
        <v>8</v>
      </c>
      <c r="AH36" s="63" t="s">
        <v>584</v>
      </c>
      <c r="AI36" s="70">
        <v>8</v>
      </c>
    </row>
    <row r="37" spans="4:35">
      <c r="D37" s="66" t="s">
        <v>474</v>
      </c>
      <c r="E37" s="70">
        <v>2</v>
      </c>
      <c r="J37" s="63" t="s">
        <v>318</v>
      </c>
      <c r="K37" s="70">
        <v>12</v>
      </c>
      <c r="P37" s="63" t="s">
        <v>299</v>
      </c>
      <c r="Q37" s="70">
        <v>234</v>
      </c>
      <c r="V37" s="63" t="s">
        <v>299</v>
      </c>
      <c r="W37" s="70">
        <v>234</v>
      </c>
      <c r="AB37" s="63" t="s">
        <v>299</v>
      </c>
      <c r="AC37" s="70">
        <v>234</v>
      </c>
      <c r="AH37" s="63" t="s">
        <v>411</v>
      </c>
      <c r="AI37" s="70">
        <v>8</v>
      </c>
    </row>
    <row r="38" spans="4:35">
      <c r="D38" s="66" t="s">
        <v>309</v>
      </c>
      <c r="E38" s="70">
        <v>46</v>
      </c>
      <c r="J38" s="63" t="s">
        <v>299</v>
      </c>
      <c r="K38" s="70">
        <v>144</v>
      </c>
      <c r="P38" s="63" t="s">
        <v>319</v>
      </c>
      <c r="Q38" s="70">
        <v>22</v>
      </c>
      <c r="V38" s="63" t="s">
        <v>319</v>
      </c>
      <c r="W38" s="70">
        <v>22</v>
      </c>
      <c r="AB38" s="63" t="s">
        <v>319</v>
      </c>
      <c r="AC38" s="70">
        <v>22</v>
      </c>
      <c r="AH38" s="63" t="s">
        <v>474</v>
      </c>
      <c r="AI38" s="70">
        <v>23</v>
      </c>
    </row>
    <row r="39" spans="4:35">
      <c r="D39" s="66" t="s">
        <v>291</v>
      </c>
      <c r="E39" s="70">
        <v>239</v>
      </c>
      <c r="J39" s="63" t="s">
        <v>319</v>
      </c>
      <c r="K39" s="70">
        <v>12</v>
      </c>
      <c r="P39" s="63" t="s">
        <v>542</v>
      </c>
      <c r="Q39" s="70">
        <v>8</v>
      </c>
      <c r="V39" s="63" t="s">
        <v>542</v>
      </c>
      <c r="W39" s="70">
        <v>8</v>
      </c>
      <c r="AB39" s="63" t="s">
        <v>542</v>
      </c>
      <c r="AC39" s="70">
        <v>8</v>
      </c>
      <c r="AH39" s="63" t="s">
        <v>291</v>
      </c>
      <c r="AI39" s="70">
        <v>163</v>
      </c>
    </row>
    <row r="40" spans="4:35">
      <c r="D40" s="66" t="s">
        <v>409</v>
      </c>
      <c r="E40" s="70">
        <v>2</v>
      </c>
      <c r="J40" s="63" t="s">
        <v>677</v>
      </c>
      <c r="K40" s="70">
        <v>8</v>
      </c>
      <c r="P40" s="63" t="s">
        <v>322</v>
      </c>
      <c r="Q40" s="70">
        <v>34</v>
      </c>
      <c r="V40" s="63" t="s">
        <v>322</v>
      </c>
      <c r="W40" s="70">
        <v>34</v>
      </c>
      <c r="AB40" s="63" t="s">
        <v>322</v>
      </c>
      <c r="AC40" s="70">
        <v>34</v>
      </c>
      <c r="AH40" s="63" t="s">
        <v>409</v>
      </c>
      <c r="AI40" s="70">
        <v>4</v>
      </c>
    </row>
    <row r="41" spans="4:35">
      <c r="D41" s="66" t="s">
        <v>318</v>
      </c>
      <c r="E41" s="70">
        <v>20</v>
      </c>
      <c r="J41" s="63" t="s">
        <v>706</v>
      </c>
      <c r="K41" s="70">
        <v>14</v>
      </c>
      <c r="P41" s="63" t="s">
        <v>363</v>
      </c>
      <c r="Q41" s="70">
        <v>6</v>
      </c>
      <c r="V41" s="63" t="s">
        <v>363</v>
      </c>
      <c r="W41" s="70">
        <v>6</v>
      </c>
      <c r="AB41" s="63" t="s">
        <v>363</v>
      </c>
      <c r="AC41" s="70">
        <v>6</v>
      </c>
      <c r="AH41" s="63" t="s">
        <v>318</v>
      </c>
      <c r="AI41" s="70">
        <v>6</v>
      </c>
    </row>
    <row r="42" spans="4:35">
      <c r="D42" s="66" t="s">
        <v>299</v>
      </c>
      <c r="E42" s="70">
        <v>569</v>
      </c>
      <c r="J42" s="63" t="s">
        <v>322</v>
      </c>
      <c r="K42" s="70">
        <v>112</v>
      </c>
      <c r="P42" s="63" t="s">
        <v>159</v>
      </c>
      <c r="Q42" s="70">
        <v>2</v>
      </c>
      <c r="V42" s="63" t="s">
        <v>159</v>
      </c>
      <c r="W42" s="70">
        <v>2</v>
      </c>
      <c r="AB42" s="63" t="s">
        <v>159</v>
      </c>
      <c r="AC42" s="70">
        <v>2</v>
      </c>
      <c r="AH42" s="63" t="s">
        <v>601</v>
      </c>
      <c r="AI42" s="70">
        <v>34</v>
      </c>
    </row>
    <row r="43" spans="4:35">
      <c r="D43" s="66" t="s">
        <v>319</v>
      </c>
      <c r="E43" s="70">
        <v>66</v>
      </c>
      <c r="J43" s="63" t="s">
        <v>363</v>
      </c>
      <c r="K43" s="70">
        <v>137</v>
      </c>
      <c r="P43" s="63" t="s">
        <v>531</v>
      </c>
      <c r="Q43" s="70">
        <v>4</v>
      </c>
      <c r="V43" s="63" t="s">
        <v>531</v>
      </c>
      <c r="W43" s="70">
        <v>4</v>
      </c>
      <c r="AB43" s="63" t="s">
        <v>531</v>
      </c>
      <c r="AC43" s="70">
        <v>4</v>
      </c>
      <c r="AH43" s="63" t="s">
        <v>529</v>
      </c>
      <c r="AI43" s="70">
        <v>24</v>
      </c>
    </row>
    <row r="44" spans="4:35">
      <c r="D44" s="66" t="s">
        <v>322</v>
      </c>
      <c r="E44" s="70">
        <v>274</v>
      </c>
      <c r="J44" s="63" t="s">
        <v>680</v>
      </c>
      <c r="K44" s="70">
        <v>4</v>
      </c>
      <c r="P44" s="63" t="s">
        <v>316</v>
      </c>
      <c r="Q44" s="70">
        <v>12</v>
      </c>
      <c r="V44" s="63" t="s">
        <v>316</v>
      </c>
      <c r="W44" s="70">
        <v>12</v>
      </c>
      <c r="AB44" s="63" t="s">
        <v>316</v>
      </c>
      <c r="AC44" s="70">
        <v>12</v>
      </c>
      <c r="AH44" s="63" t="s">
        <v>545</v>
      </c>
      <c r="AI44" s="70">
        <v>8</v>
      </c>
    </row>
    <row r="45" spans="4:35">
      <c r="D45" s="66" t="s">
        <v>363</v>
      </c>
      <c r="E45" s="70">
        <v>2</v>
      </c>
      <c r="J45" s="63" t="s">
        <v>316</v>
      </c>
      <c r="K45" s="70">
        <v>4</v>
      </c>
      <c r="P45" s="63" t="s">
        <v>347</v>
      </c>
      <c r="Q45" s="70">
        <v>4</v>
      </c>
      <c r="V45" s="63" t="s">
        <v>347</v>
      </c>
      <c r="W45" s="70">
        <v>4</v>
      </c>
      <c r="AB45" s="63" t="s">
        <v>347</v>
      </c>
      <c r="AC45" s="70">
        <v>4</v>
      </c>
      <c r="AH45" s="63" t="s">
        <v>299</v>
      </c>
      <c r="AI45" s="70">
        <v>234</v>
      </c>
    </row>
    <row r="46" spans="4:35">
      <c r="D46" s="66" t="s">
        <v>159</v>
      </c>
      <c r="E46" s="70">
        <v>124</v>
      </c>
      <c r="J46" s="63" t="s">
        <v>663</v>
      </c>
      <c r="K46" s="70">
        <v>8</v>
      </c>
      <c r="P46" s="63" t="s">
        <v>238</v>
      </c>
      <c r="Q46" s="70">
        <v>2</v>
      </c>
      <c r="V46" s="63" t="s">
        <v>238</v>
      </c>
      <c r="W46" s="70">
        <v>2</v>
      </c>
      <c r="AB46" s="63" t="s">
        <v>238</v>
      </c>
      <c r="AC46" s="70">
        <v>2</v>
      </c>
      <c r="AH46" s="63" t="s">
        <v>319</v>
      </c>
      <c r="AI46" s="70">
        <v>22</v>
      </c>
    </row>
    <row r="47" spans="4:35">
      <c r="D47" s="66" t="s">
        <v>316</v>
      </c>
      <c r="E47" s="70">
        <v>12</v>
      </c>
      <c r="J47" s="63" t="s">
        <v>681</v>
      </c>
      <c r="K47" s="70">
        <v>8</v>
      </c>
      <c r="P47" s="63" t="s">
        <v>410</v>
      </c>
      <c r="Q47" s="70">
        <v>8</v>
      </c>
      <c r="V47" s="63" t="s">
        <v>410</v>
      </c>
      <c r="W47" s="70">
        <v>8</v>
      </c>
      <c r="AB47" s="63" t="s">
        <v>410</v>
      </c>
      <c r="AC47" s="70">
        <v>8</v>
      </c>
      <c r="AH47" s="63" t="s">
        <v>542</v>
      </c>
      <c r="AI47" s="70">
        <v>8</v>
      </c>
    </row>
    <row r="48" spans="4:35">
      <c r="D48" s="66" t="s">
        <v>347</v>
      </c>
      <c r="E48" s="70">
        <v>4</v>
      </c>
      <c r="J48" s="63" t="s">
        <v>466</v>
      </c>
      <c r="K48" s="70">
        <v>6</v>
      </c>
      <c r="P48" s="63" t="s">
        <v>367</v>
      </c>
      <c r="Q48" s="70">
        <v>4</v>
      </c>
      <c r="V48" s="63" t="s">
        <v>367</v>
      </c>
      <c r="W48" s="70">
        <v>4</v>
      </c>
      <c r="AB48" s="63" t="s">
        <v>367</v>
      </c>
      <c r="AC48" s="70">
        <v>4</v>
      </c>
      <c r="AH48" s="63" t="s">
        <v>322</v>
      </c>
      <c r="AI48" s="70">
        <v>34</v>
      </c>
    </row>
    <row r="49" spans="4:35">
      <c r="D49" s="66" t="s">
        <v>238</v>
      </c>
      <c r="E49" s="70">
        <v>6</v>
      </c>
      <c r="J49" s="63" t="s">
        <v>440</v>
      </c>
      <c r="K49" s="70">
        <v>4</v>
      </c>
      <c r="P49" s="63" t="s">
        <v>408</v>
      </c>
      <c r="Q49" s="70">
        <v>20</v>
      </c>
      <c r="V49" s="63" t="s">
        <v>408</v>
      </c>
      <c r="W49" s="70">
        <v>20</v>
      </c>
      <c r="AB49" s="63" t="s">
        <v>408</v>
      </c>
      <c r="AC49" s="70">
        <v>20</v>
      </c>
      <c r="AH49" s="63" t="s">
        <v>363</v>
      </c>
      <c r="AI49" s="70">
        <v>6</v>
      </c>
    </row>
    <row r="50" spans="4:35">
      <c r="D50" s="66" t="s">
        <v>410</v>
      </c>
      <c r="E50" s="70">
        <v>4</v>
      </c>
      <c r="J50" s="63" t="s">
        <v>365</v>
      </c>
      <c r="K50" s="70">
        <v>16</v>
      </c>
      <c r="P50" s="63" t="s">
        <v>365</v>
      </c>
      <c r="Q50" s="70">
        <v>6</v>
      </c>
      <c r="V50" s="63" t="s">
        <v>365</v>
      </c>
      <c r="W50" s="70">
        <v>6</v>
      </c>
      <c r="AB50" s="63" t="s">
        <v>365</v>
      </c>
      <c r="AC50" s="70">
        <v>6</v>
      </c>
      <c r="AH50" s="63" t="s">
        <v>585</v>
      </c>
      <c r="AI50" s="70">
        <v>2</v>
      </c>
    </row>
    <row r="51" spans="4:35">
      <c r="D51" s="66" t="s">
        <v>367</v>
      </c>
      <c r="E51" s="70">
        <v>4</v>
      </c>
      <c r="J51" s="63" t="s">
        <v>290</v>
      </c>
      <c r="K51" s="70">
        <v>76</v>
      </c>
      <c r="P51" s="63" t="s">
        <v>290</v>
      </c>
      <c r="Q51" s="70">
        <v>78</v>
      </c>
      <c r="V51" s="63" t="s">
        <v>290</v>
      </c>
      <c r="W51" s="70">
        <v>78</v>
      </c>
      <c r="AB51" s="63" t="s">
        <v>290</v>
      </c>
      <c r="AC51" s="70">
        <v>78</v>
      </c>
      <c r="AH51" s="63" t="s">
        <v>159</v>
      </c>
      <c r="AI51" s="70">
        <v>4</v>
      </c>
    </row>
    <row r="52" spans="4:35">
      <c r="D52" s="66" t="s">
        <v>466</v>
      </c>
      <c r="E52" s="70">
        <v>70</v>
      </c>
      <c r="J52" s="63" t="s">
        <v>375</v>
      </c>
      <c r="K52" s="70">
        <v>97</v>
      </c>
      <c r="P52" s="63" t="s">
        <v>391</v>
      </c>
      <c r="Q52" s="70">
        <v>3</v>
      </c>
      <c r="V52" s="63" t="s">
        <v>391</v>
      </c>
      <c r="W52" s="70">
        <v>3</v>
      </c>
      <c r="AB52" s="63" t="s">
        <v>391</v>
      </c>
      <c r="AC52" s="70">
        <v>3</v>
      </c>
      <c r="AH52" s="63" t="s">
        <v>531</v>
      </c>
      <c r="AI52" s="70">
        <v>4</v>
      </c>
    </row>
    <row r="53" spans="4:35">
      <c r="D53" s="66" t="s">
        <v>308</v>
      </c>
      <c r="E53" s="70">
        <v>6</v>
      </c>
      <c r="J53" s="63" t="s">
        <v>669</v>
      </c>
      <c r="K53" s="70">
        <v>2</v>
      </c>
      <c r="P53" s="63" t="s">
        <v>320</v>
      </c>
      <c r="Q53" s="70">
        <v>2</v>
      </c>
      <c r="V53" s="63" t="s">
        <v>320</v>
      </c>
      <c r="W53" s="70">
        <v>2</v>
      </c>
      <c r="AB53" s="63" t="s">
        <v>320</v>
      </c>
      <c r="AC53" s="70">
        <v>2</v>
      </c>
      <c r="AH53" s="63" t="s">
        <v>316</v>
      </c>
      <c r="AI53" s="70">
        <v>12</v>
      </c>
    </row>
    <row r="54" spans="4:35">
      <c r="D54" s="66" t="s">
        <v>440</v>
      </c>
      <c r="E54" s="70">
        <v>20</v>
      </c>
      <c r="J54" s="63" t="s">
        <v>320</v>
      </c>
      <c r="K54" s="70">
        <v>4</v>
      </c>
      <c r="P54" s="63" t="s">
        <v>301</v>
      </c>
      <c r="Q54" s="70">
        <v>28</v>
      </c>
      <c r="V54" s="63" t="s">
        <v>301</v>
      </c>
      <c r="W54" s="70">
        <v>28</v>
      </c>
      <c r="AB54" s="63" t="s">
        <v>301</v>
      </c>
      <c r="AC54" s="70">
        <v>28</v>
      </c>
      <c r="AH54" s="63" t="s">
        <v>347</v>
      </c>
      <c r="AI54" s="70">
        <v>4</v>
      </c>
    </row>
    <row r="55" spans="4:35">
      <c r="D55" s="66" t="s">
        <v>408</v>
      </c>
      <c r="E55" s="70">
        <v>2</v>
      </c>
      <c r="J55" s="63" t="s">
        <v>307</v>
      </c>
      <c r="K55" s="70">
        <v>116</v>
      </c>
      <c r="P55" s="63" t="s">
        <v>307</v>
      </c>
      <c r="Q55" s="70">
        <v>109</v>
      </c>
      <c r="V55" s="63" t="s">
        <v>307</v>
      </c>
      <c r="W55" s="70">
        <v>109</v>
      </c>
      <c r="AB55" s="63" t="s">
        <v>307</v>
      </c>
      <c r="AC55" s="70">
        <v>109</v>
      </c>
      <c r="AH55" s="63" t="s">
        <v>238</v>
      </c>
      <c r="AI55" s="70">
        <v>2</v>
      </c>
    </row>
    <row r="56" spans="4:35">
      <c r="D56" s="66" t="s">
        <v>365</v>
      </c>
      <c r="E56" s="70">
        <v>178</v>
      </c>
      <c r="J56" s="63" t="s">
        <v>298</v>
      </c>
      <c r="K56" s="70">
        <v>29</v>
      </c>
      <c r="P56" s="63" t="s">
        <v>298</v>
      </c>
      <c r="Q56" s="70">
        <v>60</v>
      </c>
      <c r="V56" s="63" t="s">
        <v>298</v>
      </c>
      <c r="W56" s="70">
        <v>60</v>
      </c>
      <c r="AB56" s="63" t="s">
        <v>298</v>
      </c>
      <c r="AC56" s="70">
        <v>60</v>
      </c>
      <c r="AH56" s="63" t="s">
        <v>591</v>
      </c>
      <c r="AI56" s="70">
        <v>2</v>
      </c>
    </row>
    <row r="57" spans="4:35">
      <c r="D57" s="66" t="s">
        <v>290</v>
      </c>
      <c r="E57" s="70">
        <v>54</v>
      </c>
      <c r="J57" s="63" t="s">
        <v>302</v>
      </c>
      <c r="K57" s="70">
        <v>8</v>
      </c>
      <c r="P57" s="63" t="s">
        <v>302</v>
      </c>
      <c r="Q57" s="70">
        <v>32</v>
      </c>
      <c r="V57" s="63" t="s">
        <v>302</v>
      </c>
      <c r="W57" s="70">
        <v>32</v>
      </c>
      <c r="AB57" s="63" t="s">
        <v>302</v>
      </c>
      <c r="AC57" s="70">
        <v>32</v>
      </c>
      <c r="AH57" s="63" t="s">
        <v>410</v>
      </c>
      <c r="AI57" s="70">
        <v>8</v>
      </c>
    </row>
    <row r="58" spans="4:35">
      <c r="D58" s="66" t="s">
        <v>375</v>
      </c>
      <c r="E58" s="70">
        <v>12</v>
      </c>
      <c r="J58" s="63" t="s">
        <v>356</v>
      </c>
      <c r="K58" s="70">
        <v>7</v>
      </c>
      <c r="P58" s="63" t="s">
        <v>356</v>
      </c>
      <c r="Q58" s="70">
        <v>4</v>
      </c>
      <c r="V58" s="63" t="s">
        <v>356</v>
      </c>
      <c r="W58" s="70">
        <v>4</v>
      </c>
      <c r="AB58" s="63" t="s">
        <v>356</v>
      </c>
      <c r="AC58" s="70">
        <v>4</v>
      </c>
      <c r="AH58" s="63" t="s">
        <v>367</v>
      </c>
      <c r="AI58" s="70">
        <v>4</v>
      </c>
    </row>
    <row r="59" spans="4:35">
      <c r="D59" s="66" t="s">
        <v>391</v>
      </c>
      <c r="E59" s="70">
        <v>3</v>
      </c>
      <c r="J59" s="63" t="s">
        <v>657</v>
      </c>
      <c r="K59" s="70">
        <v>4</v>
      </c>
      <c r="P59" s="63" t="s">
        <v>544</v>
      </c>
      <c r="Q59" s="70">
        <v>8</v>
      </c>
      <c r="V59" s="63" t="s">
        <v>544</v>
      </c>
      <c r="W59" s="70">
        <v>8</v>
      </c>
      <c r="AB59" s="63" t="s">
        <v>544</v>
      </c>
      <c r="AC59" s="70">
        <v>8</v>
      </c>
      <c r="AH59" s="63" t="s">
        <v>408</v>
      </c>
      <c r="AI59" s="70">
        <v>20</v>
      </c>
    </row>
    <row r="60" spans="4:35">
      <c r="D60" s="66" t="s">
        <v>397</v>
      </c>
      <c r="E60" s="70">
        <v>20</v>
      </c>
      <c r="J60" s="63" t="s">
        <v>676</v>
      </c>
      <c r="K60" s="70">
        <v>2</v>
      </c>
      <c r="P60" s="63" t="s">
        <v>543</v>
      </c>
      <c r="Q60" s="70">
        <v>64</v>
      </c>
      <c r="V60" s="63" t="s">
        <v>543</v>
      </c>
      <c r="W60" s="70">
        <v>64</v>
      </c>
      <c r="AB60" s="63" t="s">
        <v>543</v>
      </c>
      <c r="AC60" s="70">
        <v>64</v>
      </c>
      <c r="AH60" s="63" t="s">
        <v>365</v>
      </c>
      <c r="AI60" s="70">
        <v>18</v>
      </c>
    </row>
    <row r="61" spans="4:35">
      <c r="D61" s="66" t="s">
        <v>439</v>
      </c>
      <c r="E61" s="70">
        <v>1</v>
      </c>
      <c r="J61" s="63" t="s">
        <v>353</v>
      </c>
      <c r="K61" s="70">
        <v>22</v>
      </c>
      <c r="P61" s="63" t="s">
        <v>321</v>
      </c>
      <c r="Q61" s="70">
        <v>4</v>
      </c>
      <c r="V61" s="63" t="s">
        <v>321</v>
      </c>
      <c r="W61" s="70">
        <v>4</v>
      </c>
      <c r="AB61" s="63" t="s">
        <v>321</v>
      </c>
      <c r="AC61" s="70">
        <v>4</v>
      </c>
      <c r="AH61" s="63" t="s">
        <v>290</v>
      </c>
      <c r="AI61" s="70">
        <v>78</v>
      </c>
    </row>
    <row r="62" spans="4:35">
      <c r="D62" s="66" t="s">
        <v>441</v>
      </c>
      <c r="E62" s="70">
        <v>41</v>
      </c>
      <c r="J62" s="63" t="s">
        <v>321</v>
      </c>
      <c r="K62" s="70">
        <v>6</v>
      </c>
      <c r="P62" s="63" t="s">
        <v>523</v>
      </c>
      <c r="Q62" s="70">
        <v>30</v>
      </c>
      <c r="V62" s="63" t="s">
        <v>523</v>
      </c>
      <c r="W62" s="70">
        <v>30</v>
      </c>
      <c r="AB62" s="63" t="s">
        <v>523</v>
      </c>
      <c r="AC62" s="70">
        <v>30</v>
      </c>
      <c r="AH62" s="63" t="s">
        <v>375</v>
      </c>
      <c r="AI62" s="70">
        <v>8</v>
      </c>
    </row>
    <row r="63" spans="4:35">
      <c r="D63" s="66" t="s">
        <v>320</v>
      </c>
      <c r="E63" s="70">
        <v>6</v>
      </c>
      <c r="J63" s="63" t="s">
        <v>621</v>
      </c>
      <c r="K63" s="70">
        <v>4</v>
      </c>
      <c r="P63" s="63" t="s">
        <v>335</v>
      </c>
      <c r="Q63" s="70">
        <v>4</v>
      </c>
      <c r="V63" s="63" t="s">
        <v>335</v>
      </c>
      <c r="W63" s="70">
        <v>4</v>
      </c>
      <c r="AB63" s="63" t="s">
        <v>335</v>
      </c>
      <c r="AC63" s="70">
        <v>4</v>
      </c>
      <c r="AH63" s="63" t="s">
        <v>391</v>
      </c>
      <c r="AI63" s="70">
        <v>3</v>
      </c>
    </row>
    <row r="64" spans="4:35">
      <c r="D64" s="66" t="s">
        <v>301</v>
      </c>
      <c r="E64" s="70">
        <v>8</v>
      </c>
      <c r="J64" s="63" t="s">
        <v>632</v>
      </c>
      <c r="K64" s="70">
        <v>1</v>
      </c>
      <c r="P64" s="63" t="s">
        <v>496</v>
      </c>
      <c r="Q64" s="70">
        <v>4</v>
      </c>
      <c r="V64" s="63" t="s">
        <v>496</v>
      </c>
      <c r="W64" s="70">
        <v>4</v>
      </c>
      <c r="AB64" s="63" t="s">
        <v>496</v>
      </c>
      <c r="AC64" s="70">
        <v>4</v>
      </c>
      <c r="AH64" s="63" t="s">
        <v>320</v>
      </c>
      <c r="AI64" s="70">
        <v>2</v>
      </c>
    </row>
    <row r="65" spans="4:35">
      <c r="D65" s="66" t="s">
        <v>307</v>
      </c>
      <c r="E65" s="70">
        <v>248</v>
      </c>
      <c r="J65" s="63" t="s">
        <v>679</v>
      </c>
      <c r="K65" s="70">
        <v>4</v>
      </c>
      <c r="P65" s="63" t="s">
        <v>362</v>
      </c>
      <c r="Q65" s="70">
        <v>2</v>
      </c>
      <c r="V65" s="63" t="s">
        <v>362</v>
      </c>
      <c r="W65" s="70">
        <v>2</v>
      </c>
      <c r="AB65" s="63" t="s">
        <v>362</v>
      </c>
      <c r="AC65" s="70">
        <v>2</v>
      </c>
      <c r="AH65" s="63" t="s">
        <v>301</v>
      </c>
      <c r="AI65" s="70">
        <v>28</v>
      </c>
    </row>
    <row r="66" spans="4:35">
      <c r="D66" s="66" t="s">
        <v>298</v>
      </c>
      <c r="E66" s="70">
        <v>150</v>
      </c>
      <c r="J66" s="63" t="s">
        <v>628</v>
      </c>
      <c r="K66" s="70">
        <v>40</v>
      </c>
      <c r="P66" s="63" t="s">
        <v>406</v>
      </c>
      <c r="Q66" s="70">
        <v>2</v>
      </c>
      <c r="V66" s="63" t="s">
        <v>406</v>
      </c>
      <c r="W66" s="70">
        <v>2</v>
      </c>
      <c r="AB66" s="63" t="s">
        <v>406</v>
      </c>
      <c r="AC66" s="70">
        <v>2</v>
      </c>
      <c r="AH66" s="63" t="s">
        <v>307</v>
      </c>
      <c r="AI66" s="70">
        <v>113</v>
      </c>
    </row>
    <row r="67" spans="4:35">
      <c r="D67" s="66" t="s">
        <v>302</v>
      </c>
      <c r="E67" s="70">
        <v>85</v>
      </c>
      <c r="J67" s="63" t="s">
        <v>661</v>
      </c>
      <c r="K67" s="70">
        <v>4</v>
      </c>
      <c r="P67" s="63" t="s">
        <v>377</v>
      </c>
      <c r="Q67" s="70">
        <v>2</v>
      </c>
      <c r="V67" s="63" t="s">
        <v>377</v>
      </c>
      <c r="W67" s="70">
        <v>2</v>
      </c>
      <c r="AB67" s="63" t="s">
        <v>377</v>
      </c>
      <c r="AC67" s="70">
        <v>2</v>
      </c>
      <c r="AH67" s="63" t="s">
        <v>298</v>
      </c>
      <c r="AI67" s="70">
        <v>60</v>
      </c>
    </row>
    <row r="68" spans="4:35">
      <c r="D68" s="66" t="s">
        <v>356</v>
      </c>
      <c r="E68" s="70">
        <v>4</v>
      </c>
      <c r="J68" s="63" t="s">
        <v>711</v>
      </c>
      <c r="K68" s="70">
        <v>4</v>
      </c>
      <c r="P68" s="63" t="s">
        <v>234</v>
      </c>
      <c r="Q68" s="70">
        <v>2</v>
      </c>
      <c r="V68" s="63" t="s">
        <v>234</v>
      </c>
      <c r="W68" s="70">
        <v>2</v>
      </c>
      <c r="AB68" s="63" t="s">
        <v>234</v>
      </c>
      <c r="AC68" s="70">
        <v>2</v>
      </c>
      <c r="AH68" s="63" t="s">
        <v>302</v>
      </c>
      <c r="AI68" s="70">
        <v>32</v>
      </c>
    </row>
    <row r="69" spans="4:35">
      <c r="D69" s="66" t="s">
        <v>394</v>
      </c>
      <c r="E69" s="70">
        <v>40</v>
      </c>
      <c r="J69" s="63" t="s">
        <v>472</v>
      </c>
      <c r="K69" s="70">
        <v>12</v>
      </c>
      <c r="P69" s="63" t="s">
        <v>436</v>
      </c>
      <c r="Q69" s="70">
        <v>4</v>
      </c>
      <c r="V69" s="63" t="s">
        <v>436</v>
      </c>
      <c r="W69" s="70">
        <v>4</v>
      </c>
      <c r="AB69" s="63" t="s">
        <v>436</v>
      </c>
      <c r="AC69" s="70">
        <v>4</v>
      </c>
      <c r="AH69" s="63" t="s">
        <v>356</v>
      </c>
      <c r="AI69" s="70">
        <v>4</v>
      </c>
    </row>
    <row r="70" spans="4:35">
      <c r="D70" s="66" t="s">
        <v>400</v>
      </c>
      <c r="E70" s="70">
        <v>2</v>
      </c>
      <c r="P70" s="63" t="s">
        <v>364</v>
      </c>
      <c r="Q70" s="70">
        <v>8</v>
      </c>
      <c r="V70" s="63" t="s">
        <v>364</v>
      </c>
      <c r="W70" s="70">
        <v>8</v>
      </c>
      <c r="AB70" s="63" t="s">
        <v>364</v>
      </c>
      <c r="AC70" s="70">
        <v>8</v>
      </c>
      <c r="AH70" s="63" t="s">
        <v>544</v>
      </c>
      <c r="AI70" s="70">
        <v>8</v>
      </c>
    </row>
    <row r="71" spans="4:35">
      <c r="D71" s="66" t="s">
        <v>227</v>
      </c>
      <c r="E71" s="70">
        <v>7</v>
      </c>
      <c r="P71" s="63" t="s">
        <v>366</v>
      </c>
      <c r="Q71" s="70">
        <v>6</v>
      </c>
      <c r="V71" s="63" t="s">
        <v>366</v>
      </c>
      <c r="W71" s="70">
        <v>6</v>
      </c>
      <c r="AB71" s="63" t="s">
        <v>366</v>
      </c>
      <c r="AC71" s="70">
        <v>6</v>
      </c>
      <c r="AH71" s="63" t="s">
        <v>543</v>
      </c>
      <c r="AI71" s="70">
        <v>64</v>
      </c>
    </row>
    <row r="72" spans="4:35">
      <c r="D72" s="66" t="s">
        <v>353</v>
      </c>
      <c r="E72" s="70">
        <v>2</v>
      </c>
      <c r="P72" s="63" t="s">
        <v>472</v>
      </c>
      <c r="Q72" s="70">
        <v>2</v>
      </c>
      <c r="V72" s="63" t="s">
        <v>472</v>
      </c>
      <c r="W72" s="70">
        <v>2</v>
      </c>
      <c r="AB72" s="63" t="s">
        <v>472</v>
      </c>
      <c r="AC72" s="70">
        <v>2</v>
      </c>
      <c r="AH72" s="63" t="s">
        <v>353</v>
      </c>
      <c r="AI72" s="70">
        <v>2</v>
      </c>
    </row>
    <row r="73" spans="4:35">
      <c r="D73" s="66" t="s">
        <v>395</v>
      </c>
      <c r="E73" s="70">
        <v>142</v>
      </c>
      <c r="P73" s="63" t="s">
        <v>561</v>
      </c>
      <c r="Q73" s="70">
        <v>21</v>
      </c>
      <c r="V73" s="63" t="s">
        <v>561</v>
      </c>
      <c r="W73" s="70">
        <v>21</v>
      </c>
      <c r="AB73" s="63" t="s">
        <v>561</v>
      </c>
      <c r="AC73" s="70">
        <v>21</v>
      </c>
      <c r="AH73" s="63" t="s">
        <v>321</v>
      </c>
      <c r="AI73" s="70">
        <v>4</v>
      </c>
    </row>
    <row r="74" spans="4:35">
      <c r="D74" s="66" t="s">
        <v>321</v>
      </c>
      <c r="E74" s="70">
        <v>18</v>
      </c>
      <c r="AH74" s="63" t="s">
        <v>523</v>
      </c>
      <c r="AI74" s="70">
        <v>30</v>
      </c>
    </row>
    <row r="75" spans="4:35">
      <c r="D75" s="66" t="s">
        <v>335</v>
      </c>
      <c r="E75" s="70">
        <v>112</v>
      </c>
      <c r="AH75" s="63" t="s">
        <v>335</v>
      </c>
      <c r="AI75" s="70">
        <v>4</v>
      </c>
    </row>
    <row r="76" spans="4:35">
      <c r="D76" s="66" t="s">
        <v>362</v>
      </c>
      <c r="E76" s="70">
        <v>2</v>
      </c>
      <c r="AH76" s="63" t="s">
        <v>496</v>
      </c>
      <c r="AI76" s="70">
        <v>4</v>
      </c>
    </row>
    <row r="77" spans="4:35">
      <c r="D77" s="66" t="s">
        <v>406</v>
      </c>
      <c r="E77" s="70">
        <v>16</v>
      </c>
      <c r="AH77" s="63" t="s">
        <v>362</v>
      </c>
      <c r="AI77" s="70">
        <v>2</v>
      </c>
    </row>
    <row r="78" spans="4:35">
      <c r="D78" s="66" t="s">
        <v>151</v>
      </c>
      <c r="E78" s="70">
        <v>8</v>
      </c>
      <c r="AH78" s="63" t="s">
        <v>406</v>
      </c>
      <c r="AI78" s="70">
        <v>10</v>
      </c>
    </row>
    <row r="79" spans="4:35">
      <c r="D79" s="66" t="s">
        <v>403</v>
      </c>
      <c r="E79" s="70">
        <v>20</v>
      </c>
      <c r="AH79" s="63" t="s">
        <v>593</v>
      </c>
      <c r="AI79" s="70">
        <v>2</v>
      </c>
    </row>
    <row r="80" spans="4:35">
      <c r="D80" s="66" t="s">
        <v>402</v>
      </c>
      <c r="E80" s="70">
        <v>80</v>
      </c>
      <c r="AH80" s="63" t="s">
        <v>377</v>
      </c>
      <c r="AI80" s="70">
        <v>2</v>
      </c>
    </row>
    <row r="81" spans="4:35">
      <c r="D81" s="66" t="s">
        <v>377</v>
      </c>
      <c r="E81" s="70">
        <v>2</v>
      </c>
      <c r="AH81" s="63" t="s">
        <v>234</v>
      </c>
      <c r="AI81" s="70">
        <v>2</v>
      </c>
    </row>
    <row r="82" spans="4:35">
      <c r="D82" s="66" t="s">
        <v>234</v>
      </c>
      <c r="E82" s="70">
        <v>6</v>
      </c>
      <c r="AH82" s="63" t="s">
        <v>590</v>
      </c>
      <c r="AI82" s="70">
        <v>1</v>
      </c>
    </row>
    <row r="83" spans="4:35">
      <c r="D83" s="66" t="s">
        <v>364</v>
      </c>
      <c r="E83" s="70">
        <v>4</v>
      </c>
      <c r="AH83" s="63" t="s">
        <v>577</v>
      </c>
      <c r="AI83" s="70">
        <v>4</v>
      </c>
    </row>
    <row r="84" spans="4:35">
      <c r="D84" s="66" t="s">
        <v>366</v>
      </c>
      <c r="E84" s="70">
        <v>10</v>
      </c>
      <c r="AH84" s="63" t="s">
        <v>436</v>
      </c>
      <c r="AI84" s="70">
        <v>4</v>
      </c>
    </row>
    <row r="85" spans="4:35">
      <c r="D85" s="66" t="s">
        <v>472</v>
      </c>
      <c r="E85" s="70">
        <v>2</v>
      </c>
      <c r="AH85" s="63" t="s">
        <v>574</v>
      </c>
      <c r="AI85" s="70">
        <v>4</v>
      </c>
    </row>
    <row r="86" spans="4:35">
      <c r="AH86" s="63" t="s">
        <v>364</v>
      </c>
      <c r="AI86" s="70">
        <v>8</v>
      </c>
    </row>
    <row r="87" spans="4:35">
      <c r="AH87" s="63" t="s">
        <v>366</v>
      </c>
      <c r="AI87" s="70">
        <v>6</v>
      </c>
    </row>
    <row r="88" spans="4:35">
      <c r="AH88" s="63" t="s">
        <v>472</v>
      </c>
      <c r="AI88" s="70">
        <v>2</v>
      </c>
    </row>
    <row r="89" spans="4:35">
      <c r="AH89" s="63" t="s">
        <v>561</v>
      </c>
      <c r="AI89" s="70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1"/>
  <sheetViews>
    <sheetView workbookViewId="0">
      <pane ySplit="3" topLeftCell="A4" activePane="bottomLeft" state="frozen"/>
      <selection pane="bottomLeft" activeCell="O18" sqref="O18"/>
    </sheetView>
  </sheetViews>
  <sheetFormatPr defaultRowHeight="14.4"/>
  <cols>
    <col min="1" max="1" width="42.44140625" style="39" customWidth="1"/>
    <col min="2" max="2" width="9.44140625" style="68" bestFit="1" customWidth="1"/>
    <col min="3" max="3" width="11.88671875" style="68" bestFit="1" customWidth="1"/>
    <col min="4" max="4" width="10.109375" style="68" bestFit="1" customWidth="1"/>
    <col min="5" max="5" width="6.44140625" style="68" bestFit="1" customWidth="1"/>
    <col min="6" max="6" width="16.88671875" style="39" customWidth="1"/>
    <col min="7" max="7" width="9.88671875" style="39" customWidth="1"/>
    <col min="11" max="11" width="41.6640625" bestFit="1" customWidth="1"/>
    <col min="12" max="12" width="12.88671875" style="71" bestFit="1" customWidth="1"/>
    <col min="13" max="13" width="10.44140625" style="71" customWidth="1"/>
    <col min="14" max="14" width="11.44140625" style="71" customWidth="1"/>
  </cols>
  <sheetData>
    <row r="1" spans="1:16" s="39" customFormat="1">
      <c r="A1" s="75">
        <v>45681129</v>
      </c>
      <c r="B1" s="68"/>
      <c r="C1" s="68"/>
      <c r="D1" s="68"/>
      <c r="E1" s="68"/>
      <c r="F1" s="40"/>
      <c r="K1" s="75">
        <v>45681129</v>
      </c>
      <c r="L1" s="68"/>
      <c r="M1" s="68"/>
      <c r="N1" s="68"/>
    </row>
    <row r="2" spans="1:16" s="39" customFormat="1">
      <c r="B2" s="68"/>
      <c r="C2" s="68"/>
      <c r="D2" s="68"/>
      <c r="E2" s="68"/>
      <c r="L2" s="68"/>
      <c r="M2" s="68"/>
      <c r="N2" s="68"/>
    </row>
    <row r="3" spans="1:16" ht="15.75" customHeight="1">
      <c r="A3" s="73" t="s">
        <v>724</v>
      </c>
      <c r="B3" s="76" t="s">
        <v>727</v>
      </c>
      <c r="C3" s="76" t="s">
        <v>728</v>
      </c>
      <c r="D3" s="76" t="s">
        <v>729</v>
      </c>
      <c r="E3" s="76" t="s">
        <v>725</v>
      </c>
      <c r="F3" s="74" t="s">
        <v>23</v>
      </c>
      <c r="G3" s="74" t="s">
        <v>24</v>
      </c>
      <c r="K3" s="73" t="s">
        <v>724</v>
      </c>
      <c r="L3" s="76" t="s">
        <v>729</v>
      </c>
      <c r="M3" s="69" t="s">
        <v>312</v>
      </c>
      <c r="N3" s="69" t="s">
        <v>730</v>
      </c>
    </row>
    <row r="4" spans="1:16">
      <c r="A4" s="67" t="s">
        <v>538</v>
      </c>
      <c r="B4" s="77">
        <v>4</v>
      </c>
      <c r="C4" s="77" t="s">
        <v>536</v>
      </c>
      <c r="D4" s="77">
        <v>943</v>
      </c>
      <c r="E4" s="77">
        <v>8</v>
      </c>
      <c r="F4" s="23" t="s">
        <v>476</v>
      </c>
      <c r="G4" s="23" t="s">
        <v>475</v>
      </c>
      <c r="K4" s="63" t="s">
        <v>538</v>
      </c>
      <c r="L4" s="70">
        <v>140304</v>
      </c>
      <c r="M4" s="70"/>
      <c r="N4" s="70" t="s">
        <v>731</v>
      </c>
      <c r="P4" s="47" t="s">
        <v>732</v>
      </c>
    </row>
    <row r="5" spans="1:16">
      <c r="A5" s="67" t="s">
        <v>538</v>
      </c>
      <c r="B5" s="77">
        <v>5</v>
      </c>
      <c r="C5" s="77" t="s">
        <v>536</v>
      </c>
      <c r="D5" s="77">
        <v>990</v>
      </c>
      <c r="E5" s="77">
        <v>16</v>
      </c>
      <c r="F5" s="23" t="s">
        <v>476</v>
      </c>
      <c r="G5" s="23" t="s">
        <v>475</v>
      </c>
      <c r="K5" s="63" t="s">
        <v>537</v>
      </c>
      <c r="L5" s="70">
        <v>286560</v>
      </c>
      <c r="M5" s="70"/>
      <c r="N5" s="70" t="s">
        <v>733</v>
      </c>
      <c r="P5" s="47" t="s">
        <v>732</v>
      </c>
    </row>
    <row r="6" spans="1:16">
      <c r="A6" s="67" t="s">
        <v>538</v>
      </c>
      <c r="B6" s="77">
        <v>4</v>
      </c>
      <c r="C6" s="77" t="s">
        <v>536</v>
      </c>
      <c r="D6" s="77">
        <v>943</v>
      </c>
      <c r="E6" s="77">
        <v>4</v>
      </c>
      <c r="F6" s="23" t="s">
        <v>476</v>
      </c>
      <c r="G6" s="23" t="s">
        <v>475</v>
      </c>
      <c r="K6" s="63" t="s">
        <v>579</v>
      </c>
      <c r="L6" s="70">
        <v>1370</v>
      </c>
      <c r="M6" s="70" t="s">
        <v>734</v>
      </c>
      <c r="N6" s="70"/>
    </row>
    <row r="7" spans="1:16">
      <c r="A7" s="67" t="s">
        <v>538</v>
      </c>
      <c r="B7" s="77">
        <v>5</v>
      </c>
      <c r="C7" s="77" t="s">
        <v>536</v>
      </c>
      <c r="D7" s="77">
        <v>990</v>
      </c>
      <c r="E7" s="77">
        <v>8</v>
      </c>
      <c r="F7" s="23" t="s">
        <v>476</v>
      </c>
      <c r="G7" s="23" t="s">
        <v>475</v>
      </c>
      <c r="K7" s="63" t="s">
        <v>596</v>
      </c>
      <c r="L7" s="70">
        <v>7032</v>
      </c>
      <c r="M7" s="70"/>
      <c r="N7" s="70" t="s">
        <v>735</v>
      </c>
    </row>
    <row r="8" spans="1:16">
      <c r="A8" s="67" t="s">
        <v>538</v>
      </c>
      <c r="B8" s="77">
        <v>4</v>
      </c>
      <c r="C8" s="77" t="s">
        <v>536</v>
      </c>
      <c r="D8" s="77">
        <v>943</v>
      </c>
      <c r="E8" s="77">
        <v>8</v>
      </c>
      <c r="F8" s="23" t="s">
        <v>476</v>
      </c>
      <c r="G8" s="23" t="s">
        <v>563</v>
      </c>
      <c r="K8" s="63" t="s">
        <v>595</v>
      </c>
      <c r="L8" s="70">
        <v>22041</v>
      </c>
      <c r="M8" s="70"/>
      <c r="N8" s="70" t="s">
        <v>736</v>
      </c>
    </row>
    <row r="9" spans="1:16">
      <c r="A9" s="67" t="s">
        <v>538</v>
      </c>
      <c r="B9" s="77">
        <v>5</v>
      </c>
      <c r="C9" s="77" t="s">
        <v>536</v>
      </c>
      <c r="D9" s="77">
        <v>990</v>
      </c>
      <c r="E9" s="77">
        <v>16</v>
      </c>
      <c r="F9" s="23" t="s">
        <v>476</v>
      </c>
      <c r="G9" s="23" t="s">
        <v>563</v>
      </c>
      <c r="K9" s="63" t="s">
        <v>570</v>
      </c>
      <c r="L9" s="70">
        <v>5302</v>
      </c>
      <c r="M9" s="70"/>
      <c r="N9" s="70" t="s">
        <v>737</v>
      </c>
    </row>
    <row r="10" spans="1:16">
      <c r="A10" s="67" t="s">
        <v>538</v>
      </c>
      <c r="B10" s="77">
        <v>4</v>
      </c>
      <c r="C10" s="77" t="s">
        <v>536</v>
      </c>
      <c r="D10" s="77">
        <v>943</v>
      </c>
      <c r="E10" s="77">
        <v>4</v>
      </c>
      <c r="F10" s="23" t="s">
        <v>476</v>
      </c>
      <c r="G10" s="23" t="s">
        <v>563</v>
      </c>
      <c r="K10" s="63" t="s">
        <v>430</v>
      </c>
      <c r="L10" s="70">
        <v>8992</v>
      </c>
      <c r="M10" s="70"/>
      <c r="N10" s="70" t="s">
        <v>735</v>
      </c>
    </row>
    <row r="11" spans="1:16">
      <c r="A11" s="67" t="s">
        <v>538</v>
      </c>
      <c r="B11" s="77">
        <v>5</v>
      </c>
      <c r="C11" s="77" t="s">
        <v>536</v>
      </c>
      <c r="D11" s="77">
        <v>990</v>
      </c>
      <c r="E11" s="77">
        <v>8</v>
      </c>
      <c r="F11" s="23" t="s">
        <v>476</v>
      </c>
      <c r="G11" s="23" t="s">
        <v>563</v>
      </c>
      <c r="K11" s="63" t="s">
        <v>417</v>
      </c>
      <c r="L11" s="70">
        <v>3152</v>
      </c>
      <c r="M11" s="70" t="s">
        <v>734</v>
      </c>
      <c r="N11" s="70"/>
    </row>
    <row r="12" spans="1:16">
      <c r="A12" s="67" t="s">
        <v>538</v>
      </c>
      <c r="B12" s="77">
        <v>4</v>
      </c>
      <c r="C12" s="77" t="s">
        <v>536</v>
      </c>
      <c r="D12" s="77">
        <v>943</v>
      </c>
      <c r="E12" s="77">
        <v>8</v>
      </c>
      <c r="F12" s="23" t="s">
        <v>568</v>
      </c>
      <c r="G12" s="23" t="s">
        <v>567</v>
      </c>
      <c r="K12" s="63" t="s">
        <v>422</v>
      </c>
      <c r="L12" s="70">
        <v>116722</v>
      </c>
      <c r="M12" s="70"/>
      <c r="N12" s="70" t="s">
        <v>738</v>
      </c>
    </row>
    <row r="13" spans="1:16">
      <c r="A13" s="67" t="s">
        <v>538</v>
      </c>
      <c r="B13" s="77">
        <v>5</v>
      </c>
      <c r="C13" s="77" t="s">
        <v>536</v>
      </c>
      <c r="D13" s="77">
        <v>990</v>
      </c>
      <c r="E13" s="77">
        <v>16</v>
      </c>
      <c r="F13" s="23" t="s">
        <v>568</v>
      </c>
      <c r="G13" s="23" t="s">
        <v>567</v>
      </c>
      <c r="K13" s="63" t="s">
        <v>355</v>
      </c>
      <c r="L13" s="70">
        <v>137319</v>
      </c>
      <c r="M13" s="70"/>
      <c r="N13" s="70" t="s">
        <v>731</v>
      </c>
    </row>
    <row r="14" spans="1:16">
      <c r="A14" s="67" t="s">
        <v>538</v>
      </c>
      <c r="B14" s="77">
        <v>4</v>
      </c>
      <c r="C14" s="77" t="s">
        <v>536</v>
      </c>
      <c r="D14" s="77">
        <v>943</v>
      </c>
      <c r="E14" s="77">
        <v>4</v>
      </c>
      <c r="F14" s="23" t="s">
        <v>568</v>
      </c>
      <c r="G14" s="23" t="s">
        <v>567</v>
      </c>
      <c r="K14" s="63" t="s">
        <v>374</v>
      </c>
      <c r="L14" s="70">
        <v>4692</v>
      </c>
      <c r="M14" s="70" t="s">
        <v>734</v>
      </c>
      <c r="N14" s="70"/>
    </row>
    <row r="15" spans="1:16">
      <c r="A15" s="67" t="s">
        <v>538</v>
      </c>
      <c r="B15" s="77">
        <v>5</v>
      </c>
      <c r="C15" s="77" t="s">
        <v>536</v>
      </c>
      <c r="D15" s="77">
        <v>990</v>
      </c>
      <c r="E15" s="77">
        <v>8</v>
      </c>
      <c r="F15" s="23" t="s">
        <v>568</v>
      </c>
      <c r="G15" s="23" t="s">
        <v>567</v>
      </c>
      <c r="K15" s="63" t="s">
        <v>352</v>
      </c>
      <c r="L15" s="70">
        <v>223294</v>
      </c>
      <c r="M15" s="70"/>
      <c r="N15" s="70" t="s">
        <v>739</v>
      </c>
    </row>
    <row r="16" spans="1:16">
      <c r="A16" s="67" t="s">
        <v>538</v>
      </c>
      <c r="B16" s="77">
        <v>4</v>
      </c>
      <c r="C16" s="77" t="s">
        <v>536</v>
      </c>
      <c r="D16" s="77">
        <v>943</v>
      </c>
      <c r="E16" s="77">
        <v>8</v>
      </c>
      <c r="F16" s="23" t="s">
        <v>476</v>
      </c>
      <c r="G16" s="23" t="s">
        <v>603</v>
      </c>
      <c r="K16" s="63" t="s">
        <v>667</v>
      </c>
      <c r="L16" s="70">
        <v>100</v>
      </c>
      <c r="M16" s="70" t="s">
        <v>734</v>
      </c>
      <c r="N16" s="70"/>
    </row>
    <row r="17" spans="1:14">
      <c r="A17" s="67" t="s">
        <v>538</v>
      </c>
      <c r="B17" s="77">
        <v>5</v>
      </c>
      <c r="C17" s="77" t="s">
        <v>536</v>
      </c>
      <c r="D17" s="77">
        <v>990</v>
      </c>
      <c r="E17" s="77">
        <v>16</v>
      </c>
      <c r="F17" s="23" t="s">
        <v>476</v>
      </c>
      <c r="G17" s="23" t="s">
        <v>603</v>
      </c>
      <c r="K17" s="63" t="s">
        <v>424</v>
      </c>
      <c r="L17" s="70">
        <v>400</v>
      </c>
      <c r="M17" s="70" t="s">
        <v>734</v>
      </c>
      <c r="N17" s="70"/>
    </row>
    <row r="18" spans="1:14">
      <c r="A18" s="67" t="s">
        <v>538</v>
      </c>
      <c r="B18" s="77">
        <v>4</v>
      </c>
      <c r="C18" s="77" t="s">
        <v>536</v>
      </c>
      <c r="D18" s="77">
        <v>943</v>
      </c>
      <c r="E18" s="77">
        <v>4</v>
      </c>
      <c r="F18" s="23" t="s">
        <v>476</v>
      </c>
      <c r="G18" s="23" t="s">
        <v>603</v>
      </c>
      <c r="K18" s="63" t="s">
        <v>415</v>
      </c>
      <c r="L18" s="70">
        <v>5600</v>
      </c>
      <c r="M18" s="70" t="s">
        <v>734</v>
      </c>
      <c r="N18" s="70"/>
    </row>
    <row r="19" spans="1:14">
      <c r="A19" s="67" t="s">
        <v>538</v>
      </c>
      <c r="B19" s="77">
        <v>5</v>
      </c>
      <c r="C19" s="77" t="s">
        <v>536</v>
      </c>
      <c r="D19" s="77">
        <v>990</v>
      </c>
      <c r="E19" s="77">
        <v>8</v>
      </c>
      <c r="F19" s="23" t="s">
        <v>476</v>
      </c>
      <c r="G19" s="23" t="s">
        <v>603</v>
      </c>
      <c r="K19" s="63" t="s">
        <v>420</v>
      </c>
      <c r="L19" s="70">
        <v>1040</v>
      </c>
      <c r="M19" s="70" t="s">
        <v>734</v>
      </c>
      <c r="N19" s="70"/>
    </row>
    <row r="20" spans="1:14">
      <c r="A20" s="67" t="s">
        <v>537</v>
      </c>
      <c r="B20" s="77">
        <v>3</v>
      </c>
      <c r="C20" s="77" t="s">
        <v>536</v>
      </c>
      <c r="D20" s="77">
        <v>5970</v>
      </c>
      <c r="E20" s="77">
        <v>8</v>
      </c>
      <c r="F20" s="23" t="s">
        <v>476</v>
      </c>
      <c r="G20" s="23" t="s">
        <v>475</v>
      </c>
      <c r="K20" s="63" t="s">
        <v>432</v>
      </c>
      <c r="L20" s="70">
        <v>400</v>
      </c>
      <c r="M20" s="70" t="s">
        <v>734</v>
      </c>
      <c r="N20" s="70"/>
    </row>
    <row r="21" spans="1:14">
      <c r="A21" s="67" t="s">
        <v>537</v>
      </c>
      <c r="B21" s="77">
        <v>3</v>
      </c>
      <c r="C21" s="77" t="s">
        <v>536</v>
      </c>
      <c r="D21" s="77">
        <v>5970</v>
      </c>
      <c r="E21" s="77">
        <v>4</v>
      </c>
      <c r="F21" s="23" t="s">
        <v>476</v>
      </c>
      <c r="G21" s="23" t="s">
        <v>475</v>
      </c>
      <c r="K21" s="63" t="s">
        <v>575</v>
      </c>
      <c r="L21" s="70">
        <v>200</v>
      </c>
      <c r="M21" s="70" t="s">
        <v>734</v>
      </c>
      <c r="N21" s="70"/>
    </row>
    <row r="22" spans="1:14">
      <c r="A22" s="67" t="s">
        <v>537</v>
      </c>
      <c r="B22" s="77">
        <v>3</v>
      </c>
      <c r="C22" s="77" t="s">
        <v>536</v>
      </c>
      <c r="D22" s="77">
        <v>5970</v>
      </c>
      <c r="E22" s="77">
        <v>8</v>
      </c>
      <c r="F22" s="23" t="s">
        <v>476</v>
      </c>
      <c r="G22" s="23" t="s">
        <v>563</v>
      </c>
      <c r="K22" s="63" t="s">
        <v>358</v>
      </c>
      <c r="L22" s="70">
        <v>750</v>
      </c>
      <c r="M22" s="70" t="s">
        <v>734</v>
      </c>
      <c r="N22" s="70"/>
    </row>
    <row r="23" spans="1:14">
      <c r="A23" s="67" t="s">
        <v>537</v>
      </c>
      <c r="B23" s="77">
        <v>3</v>
      </c>
      <c r="C23" s="77" t="s">
        <v>536</v>
      </c>
      <c r="D23" s="77">
        <v>5970</v>
      </c>
      <c r="E23" s="77">
        <v>4</v>
      </c>
      <c r="F23" s="23" t="s">
        <v>476</v>
      </c>
      <c r="G23" s="23" t="s">
        <v>563</v>
      </c>
      <c r="K23" s="63" t="s">
        <v>572</v>
      </c>
      <c r="L23" s="70">
        <v>300</v>
      </c>
      <c r="M23" s="70" t="s">
        <v>734</v>
      </c>
      <c r="N23" s="70"/>
    </row>
    <row r="24" spans="1:14">
      <c r="A24" s="67" t="s">
        <v>537</v>
      </c>
      <c r="B24" s="77">
        <v>3</v>
      </c>
      <c r="C24" s="77" t="s">
        <v>536</v>
      </c>
      <c r="D24" s="77">
        <v>5970</v>
      </c>
      <c r="E24" s="77">
        <v>8</v>
      </c>
      <c r="F24" s="23" t="s">
        <v>568</v>
      </c>
      <c r="G24" s="23" t="s">
        <v>567</v>
      </c>
      <c r="K24" s="63" t="s">
        <v>624</v>
      </c>
      <c r="L24" s="70">
        <v>30</v>
      </c>
      <c r="M24" s="70" t="s">
        <v>734</v>
      </c>
      <c r="N24" s="70"/>
    </row>
    <row r="25" spans="1:14">
      <c r="A25" s="67" t="s">
        <v>537</v>
      </c>
      <c r="B25" s="77">
        <v>3</v>
      </c>
      <c r="C25" s="77" t="s">
        <v>536</v>
      </c>
      <c r="D25" s="77">
        <v>5970</v>
      </c>
      <c r="E25" s="77">
        <v>4</v>
      </c>
      <c r="F25" s="23" t="s">
        <v>568</v>
      </c>
      <c r="G25" s="23" t="s">
        <v>567</v>
      </c>
      <c r="K25" s="63" t="s">
        <v>587</v>
      </c>
      <c r="L25" s="70">
        <v>58</v>
      </c>
      <c r="M25" s="70" t="s">
        <v>734</v>
      </c>
      <c r="N25" s="70"/>
    </row>
    <row r="26" spans="1:14">
      <c r="A26" s="67" t="s">
        <v>537</v>
      </c>
      <c r="B26" s="77">
        <v>3</v>
      </c>
      <c r="C26" s="77" t="s">
        <v>536</v>
      </c>
      <c r="D26" s="77">
        <v>5970</v>
      </c>
      <c r="E26" s="77">
        <v>8</v>
      </c>
      <c r="F26" s="23" t="s">
        <v>476</v>
      </c>
      <c r="G26" s="23" t="s">
        <v>603</v>
      </c>
      <c r="K26" s="63" t="s">
        <v>548</v>
      </c>
      <c r="L26" s="70">
        <v>2500</v>
      </c>
      <c r="M26" s="70" t="s">
        <v>734</v>
      </c>
      <c r="N26" s="70"/>
    </row>
    <row r="27" spans="1:14">
      <c r="A27" s="67" t="s">
        <v>537</v>
      </c>
      <c r="B27" s="77">
        <v>3</v>
      </c>
      <c r="C27" s="77" t="s">
        <v>536</v>
      </c>
      <c r="D27" s="77">
        <v>5970</v>
      </c>
      <c r="E27" s="77">
        <v>4</v>
      </c>
      <c r="F27" s="23" t="s">
        <v>476</v>
      </c>
      <c r="G27" s="23" t="s">
        <v>603</v>
      </c>
      <c r="K27" s="63" t="s">
        <v>701</v>
      </c>
      <c r="L27" s="70">
        <v>180</v>
      </c>
      <c r="M27" s="70" t="s">
        <v>734</v>
      </c>
      <c r="N27" s="70"/>
    </row>
    <row r="28" spans="1:14">
      <c r="A28" s="67" t="s">
        <v>579</v>
      </c>
      <c r="B28" s="77">
        <v>1</v>
      </c>
      <c r="C28" s="77" t="s">
        <v>578</v>
      </c>
      <c r="D28" s="77">
        <v>365</v>
      </c>
      <c r="E28" s="77">
        <v>2</v>
      </c>
      <c r="F28" s="23" t="s">
        <v>568</v>
      </c>
      <c r="G28" s="23" t="s">
        <v>567</v>
      </c>
      <c r="K28" s="63" t="s">
        <v>626</v>
      </c>
      <c r="L28" s="70">
        <v>90</v>
      </c>
      <c r="M28" s="70" t="s">
        <v>734</v>
      </c>
      <c r="N28" s="70"/>
    </row>
    <row r="29" spans="1:14">
      <c r="A29" s="67" t="s">
        <v>579</v>
      </c>
      <c r="B29" s="77">
        <v>2</v>
      </c>
      <c r="C29" s="77" t="s">
        <v>578</v>
      </c>
      <c r="D29" s="77">
        <v>320</v>
      </c>
      <c r="E29" s="77">
        <v>2</v>
      </c>
      <c r="F29" s="23" t="s">
        <v>568</v>
      </c>
      <c r="G29" s="23" t="s">
        <v>567</v>
      </c>
      <c r="K29" s="63" t="s">
        <v>582</v>
      </c>
      <c r="L29" s="70">
        <v>346</v>
      </c>
      <c r="M29" s="70" t="s">
        <v>734</v>
      </c>
      <c r="N29" s="70"/>
    </row>
    <row r="30" spans="1:14">
      <c r="A30" s="67" t="s">
        <v>596</v>
      </c>
      <c r="B30" s="77">
        <v>3</v>
      </c>
      <c r="C30" s="77" t="s">
        <v>594</v>
      </c>
      <c r="D30" s="77">
        <v>868</v>
      </c>
      <c r="E30" s="77">
        <v>1</v>
      </c>
      <c r="F30" s="23" t="s">
        <v>568</v>
      </c>
      <c r="G30" s="23" t="s">
        <v>567</v>
      </c>
      <c r="K30" s="63" t="s">
        <v>571</v>
      </c>
      <c r="L30" s="70">
        <v>4000</v>
      </c>
      <c r="M30" s="70" t="s">
        <v>734</v>
      </c>
      <c r="N30" s="70"/>
    </row>
    <row r="31" spans="1:14">
      <c r="A31" s="67" t="s">
        <v>596</v>
      </c>
      <c r="B31" s="77">
        <v>4</v>
      </c>
      <c r="C31" s="77" t="s">
        <v>594</v>
      </c>
      <c r="D31" s="77">
        <v>1050</v>
      </c>
      <c r="E31" s="77">
        <v>1</v>
      </c>
      <c r="F31" s="23" t="s">
        <v>568</v>
      </c>
      <c r="G31" s="23" t="s">
        <v>567</v>
      </c>
      <c r="K31" s="63" t="s">
        <v>314</v>
      </c>
      <c r="L31" s="70">
        <v>420</v>
      </c>
      <c r="M31" s="70" t="s">
        <v>734</v>
      </c>
      <c r="N31" s="70"/>
    </row>
    <row r="32" spans="1:14">
      <c r="A32" s="67" t="s">
        <v>596</v>
      </c>
      <c r="B32" s="77">
        <v>5</v>
      </c>
      <c r="C32" s="77" t="s">
        <v>594</v>
      </c>
      <c r="D32" s="77">
        <v>1233</v>
      </c>
      <c r="E32" s="77">
        <v>1</v>
      </c>
      <c r="F32" s="23" t="s">
        <v>568</v>
      </c>
      <c r="G32" s="23" t="s">
        <v>567</v>
      </c>
      <c r="K32" s="63" t="s">
        <v>630</v>
      </c>
      <c r="L32" s="70">
        <v>115</v>
      </c>
      <c r="M32" s="70" t="s">
        <v>734</v>
      </c>
      <c r="N32" s="70"/>
    </row>
    <row r="33" spans="1:14">
      <c r="A33" s="67" t="s">
        <v>596</v>
      </c>
      <c r="B33" s="77">
        <v>6</v>
      </c>
      <c r="C33" s="77" t="s">
        <v>594</v>
      </c>
      <c r="D33" s="77">
        <v>1416</v>
      </c>
      <c r="E33" s="77">
        <v>1</v>
      </c>
      <c r="F33" s="23" t="s">
        <v>568</v>
      </c>
      <c r="G33" s="23" t="s">
        <v>567</v>
      </c>
      <c r="K33" s="63" t="s">
        <v>589</v>
      </c>
      <c r="L33" s="70">
        <v>130</v>
      </c>
      <c r="M33" s="70" t="s">
        <v>734</v>
      </c>
      <c r="N33" s="70"/>
    </row>
    <row r="34" spans="1:14">
      <c r="A34" s="67" t="s">
        <v>596</v>
      </c>
      <c r="B34" s="77">
        <v>3</v>
      </c>
      <c r="C34" s="77" t="s">
        <v>597</v>
      </c>
      <c r="D34" s="77">
        <v>1052</v>
      </c>
      <c r="E34" s="77">
        <v>1</v>
      </c>
      <c r="F34" s="23" t="s">
        <v>568</v>
      </c>
      <c r="G34" s="23" t="s">
        <v>567</v>
      </c>
      <c r="K34" s="63" t="s">
        <v>666</v>
      </c>
      <c r="L34" s="70">
        <v>30</v>
      </c>
      <c r="M34" s="70" t="s">
        <v>734</v>
      </c>
      <c r="N34" s="70"/>
    </row>
    <row r="35" spans="1:14">
      <c r="A35" s="67" t="s">
        <v>596</v>
      </c>
      <c r="B35" s="77">
        <v>4</v>
      </c>
      <c r="C35" s="77" t="s">
        <v>597</v>
      </c>
      <c r="D35" s="77">
        <v>1413</v>
      </c>
      <c r="E35" s="77">
        <v>1</v>
      </c>
      <c r="F35" s="23" t="s">
        <v>568</v>
      </c>
      <c r="G35" s="23" t="s">
        <v>567</v>
      </c>
      <c r="K35" s="63" t="s">
        <v>581</v>
      </c>
      <c r="L35" s="70">
        <v>240</v>
      </c>
      <c r="M35" s="70" t="s">
        <v>734</v>
      </c>
      <c r="N35" s="70"/>
    </row>
    <row r="36" spans="1:14">
      <c r="A36" s="67" t="s">
        <v>595</v>
      </c>
      <c r="B36" s="77">
        <v>1</v>
      </c>
      <c r="C36" s="77" t="s">
        <v>594</v>
      </c>
      <c r="D36" s="77">
        <v>6903</v>
      </c>
      <c r="E36" s="77">
        <v>2</v>
      </c>
      <c r="F36" s="23" t="s">
        <v>568</v>
      </c>
      <c r="G36" s="23" t="s">
        <v>567</v>
      </c>
      <c r="K36" s="63" t="s">
        <v>426</v>
      </c>
      <c r="L36" s="70">
        <v>17570</v>
      </c>
      <c r="M36" s="70"/>
      <c r="N36" s="70" t="s">
        <v>736</v>
      </c>
    </row>
    <row r="37" spans="1:14">
      <c r="A37" s="67" t="s">
        <v>595</v>
      </c>
      <c r="B37" s="77">
        <v>2</v>
      </c>
      <c r="C37" s="77" t="s">
        <v>594</v>
      </c>
      <c r="D37" s="77">
        <v>840</v>
      </c>
      <c r="E37" s="77">
        <v>1</v>
      </c>
      <c r="F37" s="23" t="s">
        <v>568</v>
      </c>
      <c r="G37" s="23" t="s">
        <v>567</v>
      </c>
      <c r="K37" s="63" t="s">
        <v>416</v>
      </c>
      <c r="L37" s="70">
        <v>12180</v>
      </c>
      <c r="M37" s="70" t="s">
        <v>734</v>
      </c>
      <c r="N37" s="70"/>
    </row>
    <row r="38" spans="1:14">
      <c r="A38" s="67" t="s">
        <v>595</v>
      </c>
      <c r="B38" s="77">
        <v>1</v>
      </c>
      <c r="C38" s="77" t="s">
        <v>597</v>
      </c>
      <c r="D38" s="77">
        <v>3277</v>
      </c>
      <c r="E38" s="77">
        <v>2</v>
      </c>
      <c r="F38" s="23" t="s">
        <v>568</v>
      </c>
      <c r="G38" s="23" t="s">
        <v>567</v>
      </c>
      <c r="K38" s="63" t="s">
        <v>346</v>
      </c>
      <c r="L38" s="70">
        <v>16670</v>
      </c>
      <c r="M38" s="70" t="s">
        <v>734</v>
      </c>
      <c r="N38" s="70"/>
    </row>
    <row r="39" spans="1:14">
      <c r="A39" s="67" t="s">
        <v>595</v>
      </c>
      <c r="B39" s="77">
        <v>2</v>
      </c>
      <c r="C39" s="77" t="s">
        <v>597</v>
      </c>
      <c r="D39" s="77">
        <v>841</v>
      </c>
      <c r="E39" s="77">
        <v>1</v>
      </c>
      <c r="F39" s="23" t="s">
        <v>568</v>
      </c>
      <c r="G39" s="23" t="s">
        <v>567</v>
      </c>
      <c r="K39" s="63" t="s">
        <v>350</v>
      </c>
      <c r="L39" s="70">
        <v>680</v>
      </c>
      <c r="M39" s="70" t="s">
        <v>734</v>
      </c>
      <c r="N39" s="70"/>
    </row>
    <row r="40" spans="1:14">
      <c r="A40" s="67" t="s">
        <v>570</v>
      </c>
      <c r="B40" s="77">
        <v>1</v>
      </c>
      <c r="C40" s="77" t="s">
        <v>569</v>
      </c>
      <c r="D40" s="77">
        <v>3284</v>
      </c>
      <c r="E40" s="77">
        <v>1</v>
      </c>
      <c r="F40" s="23" t="s">
        <v>568</v>
      </c>
      <c r="G40" s="23" t="s">
        <v>567</v>
      </c>
    </row>
    <row r="41" spans="1:14">
      <c r="A41" s="67" t="s">
        <v>570</v>
      </c>
      <c r="B41" s="77">
        <v>2</v>
      </c>
      <c r="C41" s="77" t="s">
        <v>569</v>
      </c>
      <c r="D41" s="77">
        <v>439</v>
      </c>
      <c r="E41" s="77">
        <v>2</v>
      </c>
      <c r="F41" s="23" t="s">
        <v>568</v>
      </c>
      <c r="G41" s="23" t="s">
        <v>567</v>
      </c>
    </row>
    <row r="42" spans="1:14">
      <c r="A42" s="67" t="s">
        <v>570</v>
      </c>
      <c r="B42" s="77">
        <v>1</v>
      </c>
      <c r="C42" s="77" t="s">
        <v>588</v>
      </c>
      <c r="D42" s="77">
        <v>1140</v>
      </c>
      <c r="E42" s="77">
        <v>1</v>
      </c>
      <c r="F42" s="23" t="s">
        <v>568</v>
      </c>
      <c r="G42" s="23" t="s">
        <v>567</v>
      </c>
    </row>
    <row r="43" spans="1:14">
      <c r="A43" s="67" t="s">
        <v>430</v>
      </c>
      <c r="B43" s="77">
        <v>2</v>
      </c>
      <c r="C43" s="77" t="s">
        <v>429</v>
      </c>
      <c r="D43" s="77">
        <v>1013</v>
      </c>
      <c r="E43" s="77">
        <v>1</v>
      </c>
      <c r="F43" s="23" t="s">
        <v>49</v>
      </c>
      <c r="G43" s="23" t="s">
        <v>47</v>
      </c>
    </row>
    <row r="44" spans="1:14">
      <c r="A44" s="67" t="s">
        <v>430</v>
      </c>
      <c r="B44" s="77">
        <v>2</v>
      </c>
      <c r="C44" s="77" t="s">
        <v>433</v>
      </c>
      <c r="D44" s="77">
        <v>1011</v>
      </c>
      <c r="E44" s="77">
        <v>1</v>
      </c>
      <c r="F44" s="23" t="s">
        <v>49</v>
      </c>
      <c r="G44" s="23" t="s">
        <v>47</v>
      </c>
    </row>
    <row r="45" spans="1:14">
      <c r="A45" s="67" t="s">
        <v>430</v>
      </c>
      <c r="B45" s="77">
        <v>2</v>
      </c>
      <c r="C45" s="77" t="s">
        <v>549</v>
      </c>
      <c r="D45" s="77">
        <v>1158</v>
      </c>
      <c r="E45" s="77">
        <v>1</v>
      </c>
      <c r="F45" s="23" t="s">
        <v>476</v>
      </c>
      <c r="G45" s="23" t="s">
        <v>475</v>
      </c>
    </row>
    <row r="46" spans="1:14">
      <c r="A46" s="67" t="s">
        <v>430</v>
      </c>
      <c r="B46" s="77">
        <v>2</v>
      </c>
      <c r="C46" s="77" t="s">
        <v>550</v>
      </c>
      <c r="D46" s="77">
        <v>1162</v>
      </c>
      <c r="E46" s="77">
        <v>1</v>
      </c>
      <c r="F46" s="23" t="s">
        <v>476</v>
      </c>
      <c r="G46" s="23" t="s">
        <v>475</v>
      </c>
    </row>
    <row r="47" spans="1:14">
      <c r="A47" s="67" t="s">
        <v>430</v>
      </c>
      <c r="B47" s="77">
        <v>2</v>
      </c>
      <c r="C47" s="77" t="s">
        <v>549</v>
      </c>
      <c r="D47" s="77">
        <v>1158</v>
      </c>
      <c r="E47" s="77">
        <v>1</v>
      </c>
      <c r="F47" s="23" t="s">
        <v>476</v>
      </c>
      <c r="G47" s="23" t="s">
        <v>563</v>
      </c>
    </row>
    <row r="48" spans="1:14">
      <c r="A48" s="67" t="s">
        <v>430</v>
      </c>
      <c r="B48" s="77">
        <v>2</v>
      </c>
      <c r="C48" s="77" t="s">
        <v>565</v>
      </c>
      <c r="D48" s="77">
        <v>1166</v>
      </c>
      <c r="E48" s="77">
        <v>1</v>
      </c>
      <c r="F48" s="23" t="s">
        <v>476</v>
      </c>
      <c r="G48" s="23" t="s">
        <v>563</v>
      </c>
    </row>
    <row r="49" spans="1:7">
      <c r="A49" s="67" t="s">
        <v>430</v>
      </c>
      <c r="B49" s="77">
        <v>2</v>
      </c>
      <c r="C49" s="77" t="s">
        <v>549</v>
      </c>
      <c r="D49" s="77">
        <v>1158</v>
      </c>
      <c r="E49" s="77">
        <v>1</v>
      </c>
      <c r="F49" s="23" t="s">
        <v>476</v>
      </c>
      <c r="G49" s="23" t="s">
        <v>603</v>
      </c>
    </row>
    <row r="50" spans="1:7">
      <c r="A50" s="67" t="s">
        <v>430</v>
      </c>
      <c r="B50" s="77">
        <v>2</v>
      </c>
      <c r="C50" s="77" t="s">
        <v>565</v>
      </c>
      <c r="D50" s="77">
        <v>1166</v>
      </c>
      <c r="E50" s="77">
        <v>1</v>
      </c>
      <c r="F50" s="23" t="s">
        <v>476</v>
      </c>
      <c r="G50" s="23" t="s">
        <v>603</v>
      </c>
    </row>
    <row r="51" spans="1:7">
      <c r="A51" s="67" t="s">
        <v>417</v>
      </c>
      <c r="B51" s="77">
        <v>3</v>
      </c>
      <c r="C51" s="77" t="s">
        <v>414</v>
      </c>
      <c r="D51" s="77">
        <v>938</v>
      </c>
      <c r="E51" s="77">
        <v>1</v>
      </c>
      <c r="F51" s="23" t="s">
        <v>49</v>
      </c>
      <c r="G51" s="23" t="s">
        <v>47</v>
      </c>
    </row>
    <row r="52" spans="1:7">
      <c r="A52" s="67" t="s">
        <v>417</v>
      </c>
      <c r="B52" s="77">
        <v>3</v>
      </c>
      <c r="C52" s="77" t="s">
        <v>564</v>
      </c>
      <c r="D52" s="77">
        <v>788</v>
      </c>
      <c r="E52" s="77">
        <v>1</v>
      </c>
      <c r="F52" s="23" t="s">
        <v>476</v>
      </c>
      <c r="G52" s="23" t="s">
        <v>563</v>
      </c>
    </row>
    <row r="53" spans="1:7">
      <c r="A53" s="67" t="s">
        <v>417</v>
      </c>
      <c r="B53" s="77">
        <v>3</v>
      </c>
      <c r="C53" s="77" t="s">
        <v>564</v>
      </c>
      <c r="D53" s="77">
        <v>788</v>
      </c>
      <c r="E53" s="77">
        <v>1</v>
      </c>
      <c r="F53" s="23" t="s">
        <v>476</v>
      </c>
      <c r="G53" s="23" t="s">
        <v>603</v>
      </c>
    </row>
    <row r="54" spans="1:7">
      <c r="A54" s="67" t="s">
        <v>417</v>
      </c>
      <c r="B54" s="77">
        <v>3</v>
      </c>
      <c r="C54" s="77" t="s">
        <v>683</v>
      </c>
      <c r="D54" s="77">
        <v>638</v>
      </c>
      <c r="E54" s="77">
        <v>1</v>
      </c>
      <c r="F54" s="23" t="s">
        <v>608</v>
      </c>
      <c r="G54" s="23" t="s">
        <v>607</v>
      </c>
    </row>
    <row r="55" spans="1:7">
      <c r="A55" s="67" t="s">
        <v>422</v>
      </c>
      <c r="B55" s="77">
        <v>1</v>
      </c>
      <c r="C55" s="77" t="s">
        <v>421</v>
      </c>
      <c r="D55" s="77">
        <v>3445</v>
      </c>
      <c r="E55" s="77">
        <v>2</v>
      </c>
      <c r="F55" s="23" t="s">
        <v>49</v>
      </c>
      <c r="G55" s="23" t="s">
        <v>47</v>
      </c>
    </row>
    <row r="56" spans="1:7">
      <c r="A56" s="67" t="s">
        <v>422</v>
      </c>
      <c r="B56" s="77">
        <v>2</v>
      </c>
      <c r="C56" s="77" t="s">
        <v>421</v>
      </c>
      <c r="D56" s="77">
        <v>1395</v>
      </c>
      <c r="E56" s="77">
        <v>1</v>
      </c>
      <c r="F56" s="23" t="s">
        <v>49</v>
      </c>
      <c r="G56" s="23" t="s">
        <v>47</v>
      </c>
    </row>
    <row r="57" spans="1:7">
      <c r="A57" s="67" t="s">
        <v>422</v>
      </c>
      <c r="B57" s="77">
        <v>3</v>
      </c>
      <c r="C57" s="77" t="s">
        <v>421</v>
      </c>
      <c r="D57" s="77">
        <v>1395</v>
      </c>
      <c r="E57" s="77">
        <v>2</v>
      </c>
      <c r="F57" s="23" t="s">
        <v>49</v>
      </c>
      <c r="G57" s="23" t="s">
        <v>47</v>
      </c>
    </row>
    <row r="58" spans="1:7">
      <c r="A58" s="67" t="s">
        <v>422</v>
      </c>
      <c r="B58" s="77">
        <v>1</v>
      </c>
      <c r="C58" s="77" t="s">
        <v>428</v>
      </c>
      <c r="D58" s="77">
        <v>4605</v>
      </c>
      <c r="E58" s="77">
        <v>2</v>
      </c>
      <c r="F58" s="23" t="s">
        <v>49</v>
      </c>
      <c r="G58" s="23" t="s">
        <v>47</v>
      </c>
    </row>
    <row r="59" spans="1:7">
      <c r="A59" s="67" t="s">
        <v>422</v>
      </c>
      <c r="B59" s="77">
        <v>2</v>
      </c>
      <c r="C59" s="77" t="s">
        <v>428</v>
      </c>
      <c r="D59" s="77">
        <v>1395</v>
      </c>
      <c r="E59" s="77">
        <v>1</v>
      </c>
      <c r="F59" s="23" t="s">
        <v>49</v>
      </c>
      <c r="G59" s="23" t="s">
        <v>47</v>
      </c>
    </row>
    <row r="60" spans="1:7">
      <c r="A60" s="67" t="s">
        <v>422</v>
      </c>
      <c r="B60" s="77">
        <v>3</v>
      </c>
      <c r="C60" s="77" t="s">
        <v>428</v>
      </c>
      <c r="D60" s="77">
        <v>1395</v>
      </c>
      <c r="E60" s="77">
        <v>2</v>
      </c>
      <c r="F60" s="23" t="s">
        <v>49</v>
      </c>
      <c r="G60" s="23" t="s">
        <v>47</v>
      </c>
    </row>
    <row r="61" spans="1:7">
      <c r="A61" s="67" t="s">
        <v>422</v>
      </c>
      <c r="B61" s="77">
        <v>1</v>
      </c>
      <c r="C61" s="77" t="s">
        <v>429</v>
      </c>
      <c r="D61" s="77">
        <v>5798</v>
      </c>
      <c r="E61" s="77">
        <v>2</v>
      </c>
      <c r="F61" s="23" t="s">
        <v>49</v>
      </c>
      <c r="G61" s="23" t="s">
        <v>47</v>
      </c>
    </row>
    <row r="62" spans="1:7">
      <c r="A62" s="67" t="s">
        <v>422</v>
      </c>
      <c r="B62" s="77">
        <v>1</v>
      </c>
      <c r="C62" s="77" t="s">
        <v>433</v>
      </c>
      <c r="D62" s="77">
        <v>6490</v>
      </c>
      <c r="E62" s="77">
        <v>2</v>
      </c>
      <c r="F62" s="23" t="s">
        <v>49</v>
      </c>
      <c r="G62" s="23" t="s">
        <v>47</v>
      </c>
    </row>
    <row r="63" spans="1:7">
      <c r="A63" s="67" t="s">
        <v>422</v>
      </c>
      <c r="B63" s="77">
        <v>1</v>
      </c>
      <c r="C63" s="77" t="s">
        <v>549</v>
      </c>
      <c r="D63" s="77">
        <v>6818</v>
      </c>
      <c r="E63" s="77">
        <v>2</v>
      </c>
      <c r="F63" s="23" t="s">
        <v>476</v>
      </c>
      <c r="G63" s="23" t="s">
        <v>475</v>
      </c>
    </row>
    <row r="64" spans="1:7">
      <c r="A64" s="67" t="s">
        <v>422</v>
      </c>
      <c r="B64" s="77">
        <v>1</v>
      </c>
      <c r="C64" s="77" t="s">
        <v>550</v>
      </c>
      <c r="D64" s="77">
        <v>5124</v>
      </c>
      <c r="E64" s="77">
        <v>2</v>
      </c>
      <c r="F64" s="23" t="s">
        <v>476</v>
      </c>
      <c r="G64" s="23" t="s">
        <v>475</v>
      </c>
    </row>
    <row r="65" spans="1:7">
      <c r="A65" s="67" t="s">
        <v>422</v>
      </c>
      <c r="B65" s="77">
        <v>1</v>
      </c>
      <c r="C65" s="77" t="s">
        <v>549</v>
      </c>
      <c r="D65" s="77">
        <v>6818</v>
      </c>
      <c r="E65" s="77">
        <v>2</v>
      </c>
      <c r="F65" s="23" t="s">
        <v>476</v>
      </c>
      <c r="G65" s="23" t="s">
        <v>563</v>
      </c>
    </row>
    <row r="66" spans="1:7">
      <c r="A66" s="67" t="s">
        <v>422</v>
      </c>
      <c r="B66" s="77">
        <v>1</v>
      </c>
      <c r="C66" s="77" t="s">
        <v>565</v>
      </c>
      <c r="D66" s="77">
        <v>4130</v>
      </c>
      <c r="E66" s="77">
        <v>2</v>
      </c>
      <c r="F66" s="23" t="s">
        <v>476</v>
      </c>
      <c r="G66" s="23" t="s">
        <v>563</v>
      </c>
    </row>
    <row r="67" spans="1:7">
      <c r="A67" s="67" t="s">
        <v>422</v>
      </c>
      <c r="B67" s="77">
        <v>1</v>
      </c>
      <c r="C67" s="77" t="s">
        <v>549</v>
      </c>
      <c r="D67" s="77">
        <v>6818</v>
      </c>
      <c r="E67" s="77">
        <v>2</v>
      </c>
      <c r="F67" s="23" t="s">
        <v>476</v>
      </c>
      <c r="G67" s="23" t="s">
        <v>603</v>
      </c>
    </row>
    <row r="68" spans="1:7">
      <c r="A68" s="67" t="s">
        <v>422</v>
      </c>
      <c r="B68" s="77">
        <v>1</v>
      </c>
      <c r="C68" s="77" t="s">
        <v>565</v>
      </c>
      <c r="D68" s="77">
        <v>4130</v>
      </c>
      <c r="E68" s="77">
        <v>2</v>
      </c>
      <c r="F68" s="23" t="s">
        <v>476</v>
      </c>
      <c r="G68" s="23" t="s">
        <v>603</v>
      </c>
    </row>
    <row r="69" spans="1:7">
      <c r="A69" s="67" t="s">
        <v>355</v>
      </c>
      <c r="B69" s="77">
        <v>1</v>
      </c>
      <c r="C69" s="77" t="s">
        <v>354</v>
      </c>
      <c r="D69" s="77">
        <v>920</v>
      </c>
      <c r="E69" s="77">
        <v>1</v>
      </c>
      <c r="F69" s="23" t="s">
        <v>49</v>
      </c>
      <c r="G69" s="23" t="s">
        <v>47</v>
      </c>
    </row>
    <row r="70" spans="1:7">
      <c r="A70" s="67" t="s">
        <v>355</v>
      </c>
      <c r="B70" s="77">
        <v>2</v>
      </c>
      <c r="C70" s="77" t="s">
        <v>418</v>
      </c>
      <c r="D70" s="77">
        <v>938</v>
      </c>
      <c r="E70" s="77">
        <v>4</v>
      </c>
      <c r="F70" s="23" t="s">
        <v>49</v>
      </c>
      <c r="G70" s="23" t="s">
        <v>47</v>
      </c>
    </row>
    <row r="71" spans="1:7">
      <c r="A71" s="67" t="s">
        <v>355</v>
      </c>
      <c r="B71" s="77">
        <v>3</v>
      </c>
      <c r="C71" s="77" t="s">
        <v>418</v>
      </c>
      <c r="D71" s="77">
        <v>1160</v>
      </c>
      <c r="E71" s="77">
        <v>2</v>
      </c>
      <c r="F71" s="23" t="s">
        <v>49</v>
      </c>
      <c r="G71" s="23" t="s">
        <v>47</v>
      </c>
    </row>
    <row r="72" spans="1:7">
      <c r="A72" s="67" t="s">
        <v>355</v>
      </c>
      <c r="B72" s="77">
        <v>4</v>
      </c>
      <c r="C72" s="77" t="s">
        <v>418</v>
      </c>
      <c r="D72" s="77">
        <v>1170</v>
      </c>
      <c r="E72" s="77">
        <v>1</v>
      </c>
      <c r="F72" s="23" t="s">
        <v>49</v>
      </c>
      <c r="G72" s="23" t="s">
        <v>47</v>
      </c>
    </row>
    <row r="73" spans="1:7">
      <c r="A73" s="67" t="s">
        <v>355</v>
      </c>
      <c r="B73" s="77">
        <v>12</v>
      </c>
      <c r="C73" s="77" t="s">
        <v>421</v>
      </c>
      <c r="D73" s="77">
        <v>1539</v>
      </c>
      <c r="E73" s="77">
        <v>2</v>
      </c>
      <c r="F73" s="23" t="s">
        <v>49</v>
      </c>
      <c r="G73" s="23" t="s">
        <v>47</v>
      </c>
    </row>
    <row r="74" spans="1:7">
      <c r="A74" s="67" t="s">
        <v>355</v>
      </c>
      <c r="B74" s="77">
        <v>13</v>
      </c>
      <c r="C74" s="77" t="s">
        <v>421</v>
      </c>
      <c r="D74" s="77">
        <v>2000</v>
      </c>
      <c r="E74" s="77">
        <v>2</v>
      </c>
      <c r="F74" s="23" t="s">
        <v>49</v>
      </c>
      <c r="G74" s="23" t="s">
        <v>47</v>
      </c>
    </row>
    <row r="75" spans="1:7">
      <c r="A75" s="67" t="s">
        <v>355</v>
      </c>
      <c r="B75" s="77">
        <v>2</v>
      </c>
      <c r="C75" s="77" t="s">
        <v>425</v>
      </c>
      <c r="D75" s="77">
        <v>938</v>
      </c>
      <c r="E75" s="77">
        <v>2</v>
      </c>
      <c r="F75" s="23" t="s">
        <v>49</v>
      </c>
      <c r="G75" s="23" t="s">
        <v>47</v>
      </c>
    </row>
    <row r="76" spans="1:7">
      <c r="A76" s="67" t="s">
        <v>355</v>
      </c>
      <c r="B76" s="77">
        <v>3</v>
      </c>
      <c r="C76" s="77" t="s">
        <v>425</v>
      </c>
      <c r="D76" s="77">
        <v>1320</v>
      </c>
      <c r="E76" s="77">
        <v>1</v>
      </c>
      <c r="F76" s="23" t="s">
        <v>49</v>
      </c>
      <c r="G76" s="23" t="s">
        <v>47</v>
      </c>
    </row>
    <row r="77" spans="1:7">
      <c r="A77" s="67" t="s">
        <v>355</v>
      </c>
      <c r="B77" s="77">
        <v>2</v>
      </c>
      <c r="C77" s="77" t="s">
        <v>427</v>
      </c>
      <c r="D77" s="77">
        <v>938</v>
      </c>
      <c r="E77" s="77">
        <v>9</v>
      </c>
      <c r="F77" s="23" t="s">
        <v>49</v>
      </c>
      <c r="G77" s="23" t="s">
        <v>47</v>
      </c>
    </row>
    <row r="78" spans="1:7">
      <c r="A78" s="67" t="s">
        <v>355</v>
      </c>
      <c r="B78" s="77">
        <v>3</v>
      </c>
      <c r="C78" s="77" t="s">
        <v>427</v>
      </c>
      <c r="D78" s="77">
        <v>1040</v>
      </c>
      <c r="E78" s="77">
        <v>3</v>
      </c>
      <c r="F78" s="23" t="s">
        <v>49</v>
      </c>
      <c r="G78" s="23" t="s">
        <v>47</v>
      </c>
    </row>
    <row r="79" spans="1:7">
      <c r="A79" s="67" t="s">
        <v>355</v>
      </c>
      <c r="B79" s="77">
        <v>4</v>
      </c>
      <c r="C79" s="77" t="s">
        <v>427</v>
      </c>
      <c r="D79" s="77">
        <v>1090</v>
      </c>
      <c r="E79" s="77">
        <v>3</v>
      </c>
      <c r="F79" s="23" t="s">
        <v>49</v>
      </c>
      <c r="G79" s="23" t="s">
        <v>47</v>
      </c>
    </row>
    <row r="80" spans="1:7">
      <c r="A80" s="67" t="s">
        <v>355</v>
      </c>
      <c r="B80" s="77">
        <v>12</v>
      </c>
      <c r="C80" s="77" t="s">
        <v>428</v>
      </c>
      <c r="D80" s="77">
        <v>1741</v>
      </c>
      <c r="E80" s="77">
        <v>2</v>
      </c>
      <c r="F80" s="23" t="s">
        <v>49</v>
      </c>
      <c r="G80" s="23" t="s">
        <v>47</v>
      </c>
    </row>
    <row r="81" spans="1:7">
      <c r="A81" s="67" t="s">
        <v>355</v>
      </c>
      <c r="B81" s="77">
        <v>13</v>
      </c>
      <c r="C81" s="77" t="s">
        <v>428</v>
      </c>
      <c r="D81" s="77">
        <v>2770</v>
      </c>
      <c r="E81" s="77">
        <v>2</v>
      </c>
      <c r="F81" s="23" t="s">
        <v>49</v>
      </c>
      <c r="G81" s="23" t="s">
        <v>47</v>
      </c>
    </row>
    <row r="82" spans="1:7">
      <c r="A82" s="67" t="s">
        <v>355</v>
      </c>
      <c r="B82" s="77">
        <v>1</v>
      </c>
      <c r="C82" s="77" t="s">
        <v>519</v>
      </c>
      <c r="D82" s="77">
        <v>1140</v>
      </c>
      <c r="E82" s="77">
        <v>1</v>
      </c>
      <c r="F82" s="23" t="s">
        <v>476</v>
      </c>
      <c r="G82" s="23" t="s">
        <v>475</v>
      </c>
    </row>
    <row r="83" spans="1:7">
      <c r="A83" s="67" t="s">
        <v>355</v>
      </c>
      <c r="B83" s="77">
        <v>1</v>
      </c>
      <c r="C83" s="77" t="s">
        <v>539</v>
      </c>
      <c r="D83" s="77">
        <v>1170</v>
      </c>
      <c r="E83" s="77">
        <v>2</v>
      </c>
      <c r="F83" s="23" t="s">
        <v>476</v>
      </c>
      <c r="G83" s="23" t="s">
        <v>475</v>
      </c>
    </row>
    <row r="84" spans="1:7">
      <c r="A84" s="67" t="s">
        <v>355</v>
      </c>
      <c r="B84" s="77">
        <v>1</v>
      </c>
      <c r="C84" s="77" t="s">
        <v>540</v>
      </c>
      <c r="D84" s="77">
        <v>1210</v>
      </c>
      <c r="E84" s="77">
        <v>8</v>
      </c>
      <c r="F84" s="23" t="s">
        <v>476</v>
      </c>
      <c r="G84" s="23" t="s">
        <v>475</v>
      </c>
    </row>
    <row r="85" spans="1:7">
      <c r="A85" s="67" t="s">
        <v>355</v>
      </c>
      <c r="B85" s="77">
        <v>1</v>
      </c>
      <c r="C85" s="77" t="s">
        <v>541</v>
      </c>
      <c r="D85" s="77">
        <v>1255</v>
      </c>
      <c r="E85" s="77">
        <v>2</v>
      </c>
      <c r="F85" s="23" t="s">
        <v>476</v>
      </c>
      <c r="G85" s="23" t="s">
        <v>475</v>
      </c>
    </row>
    <row r="86" spans="1:7">
      <c r="A86" s="67" t="s">
        <v>355</v>
      </c>
      <c r="B86" s="77">
        <v>1</v>
      </c>
      <c r="C86" s="77" t="s">
        <v>539</v>
      </c>
      <c r="D86" s="77">
        <v>1170</v>
      </c>
      <c r="E86" s="77">
        <v>2</v>
      </c>
      <c r="F86" s="23" t="s">
        <v>476</v>
      </c>
      <c r="G86" s="23" t="s">
        <v>475</v>
      </c>
    </row>
    <row r="87" spans="1:7">
      <c r="A87" s="67" t="s">
        <v>355</v>
      </c>
      <c r="B87" s="77">
        <v>1</v>
      </c>
      <c r="C87" s="77" t="s">
        <v>540</v>
      </c>
      <c r="D87" s="77">
        <v>1210</v>
      </c>
      <c r="E87" s="77">
        <v>4</v>
      </c>
      <c r="F87" s="23" t="s">
        <v>476</v>
      </c>
      <c r="G87" s="23" t="s">
        <v>475</v>
      </c>
    </row>
    <row r="88" spans="1:7">
      <c r="A88" s="67" t="s">
        <v>355</v>
      </c>
      <c r="B88" s="77">
        <v>1</v>
      </c>
      <c r="C88" s="77" t="s">
        <v>519</v>
      </c>
      <c r="D88" s="77">
        <v>1140</v>
      </c>
      <c r="E88" s="77">
        <v>1</v>
      </c>
      <c r="F88" s="23" t="s">
        <v>476</v>
      </c>
      <c r="G88" s="23" t="s">
        <v>563</v>
      </c>
    </row>
    <row r="89" spans="1:7">
      <c r="A89" s="67" t="s">
        <v>355</v>
      </c>
      <c r="B89" s="77">
        <v>1</v>
      </c>
      <c r="C89" s="77" t="s">
        <v>539</v>
      </c>
      <c r="D89" s="77">
        <v>1170</v>
      </c>
      <c r="E89" s="77">
        <v>2</v>
      </c>
      <c r="F89" s="23" t="s">
        <v>476</v>
      </c>
      <c r="G89" s="23" t="s">
        <v>563</v>
      </c>
    </row>
    <row r="90" spans="1:7">
      <c r="A90" s="67" t="s">
        <v>355</v>
      </c>
      <c r="B90" s="77">
        <v>1</v>
      </c>
      <c r="C90" s="77" t="s">
        <v>540</v>
      </c>
      <c r="D90" s="77">
        <v>1210</v>
      </c>
      <c r="E90" s="77">
        <v>8</v>
      </c>
      <c r="F90" s="23" t="s">
        <v>476</v>
      </c>
      <c r="G90" s="23" t="s">
        <v>563</v>
      </c>
    </row>
    <row r="91" spans="1:7">
      <c r="A91" s="67" t="s">
        <v>355</v>
      </c>
      <c r="B91" s="77">
        <v>1</v>
      </c>
      <c r="C91" s="77" t="s">
        <v>541</v>
      </c>
      <c r="D91" s="77">
        <v>1255</v>
      </c>
      <c r="E91" s="77">
        <v>2</v>
      </c>
      <c r="F91" s="23" t="s">
        <v>476</v>
      </c>
      <c r="G91" s="23" t="s">
        <v>563</v>
      </c>
    </row>
    <row r="92" spans="1:7">
      <c r="A92" s="67" t="s">
        <v>355</v>
      </c>
      <c r="B92" s="77">
        <v>1</v>
      </c>
      <c r="C92" s="77" t="s">
        <v>539</v>
      </c>
      <c r="D92" s="77">
        <v>1170</v>
      </c>
      <c r="E92" s="77">
        <v>2</v>
      </c>
      <c r="F92" s="23" t="s">
        <v>476</v>
      </c>
      <c r="G92" s="23" t="s">
        <v>563</v>
      </c>
    </row>
    <row r="93" spans="1:7">
      <c r="A93" s="67" t="s">
        <v>355</v>
      </c>
      <c r="B93" s="77">
        <v>1</v>
      </c>
      <c r="C93" s="77" t="s">
        <v>540</v>
      </c>
      <c r="D93" s="77">
        <v>1210</v>
      </c>
      <c r="E93" s="77">
        <v>4</v>
      </c>
      <c r="F93" s="23" t="s">
        <v>476</v>
      </c>
      <c r="G93" s="23" t="s">
        <v>563</v>
      </c>
    </row>
    <row r="94" spans="1:7">
      <c r="A94" s="67" t="s">
        <v>355</v>
      </c>
      <c r="B94" s="77">
        <v>1</v>
      </c>
      <c r="C94" s="77" t="s">
        <v>519</v>
      </c>
      <c r="D94" s="77">
        <v>1140</v>
      </c>
      <c r="E94" s="77">
        <v>1</v>
      </c>
      <c r="F94" s="23" t="s">
        <v>568</v>
      </c>
      <c r="G94" s="23" t="s">
        <v>567</v>
      </c>
    </row>
    <row r="95" spans="1:7">
      <c r="A95" s="67" t="s">
        <v>355</v>
      </c>
      <c r="B95" s="77">
        <v>1</v>
      </c>
      <c r="C95" s="77" t="s">
        <v>539</v>
      </c>
      <c r="D95" s="77">
        <v>1170</v>
      </c>
      <c r="E95" s="77">
        <v>2</v>
      </c>
      <c r="F95" s="23" t="s">
        <v>568</v>
      </c>
      <c r="G95" s="23" t="s">
        <v>567</v>
      </c>
    </row>
    <row r="96" spans="1:7">
      <c r="A96" s="67" t="s">
        <v>355</v>
      </c>
      <c r="B96" s="77">
        <v>1</v>
      </c>
      <c r="C96" s="77" t="s">
        <v>540</v>
      </c>
      <c r="D96" s="77">
        <v>1210</v>
      </c>
      <c r="E96" s="77">
        <v>8</v>
      </c>
      <c r="F96" s="23" t="s">
        <v>568</v>
      </c>
      <c r="G96" s="23" t="s">
        <v>567</v>
      </c>
    </row>
    <row r="97" spans="1:7">
      <c r="A97" s="67" t="s">
        <v>355</v>
      </c>
      <c r="B97" s="77">
        <v>1</v>
      </c>
      <c r="C97" s="77" t="s">
        <v>541</v>
      </c>
      <c r="D97" s="77">
        <v>1255</v>
      </c>
      <c r="E97" s="77">
        <v>2</v>
      </c>
      <c r="F97" s="23" t="s">
        <v>568</v>
      </c>
      <c r="G97" s="23" t="s">
        <v>567</v>
      </c>
    </row>
    <row r="98" spans="1:7">
      <c r="A98" s="67" t="s">
        <v>355</v>
      </c>
      <c r="B98" s="77">
        <v>1</v>
      </c>
      <c r="C98" s="77" t="s">
        <v>539</v>
      </c>
      <c r="D98" s="77">
        <v>1170</v>
      </c>
      <c r="E98" s="77">
        <v>2</v>
      </c>
      <c r="F98" s="23" t="s">
        <v>568</v>
      </c>
      <c r="G98" s="23" t="s">
        <v>567</v>
      </c>
    </row>
    <row r="99" spans="1:7">
      <c r="A99" s="67" t="s">
        <v>355</v>
      </c>
      <c r="B99" s="77">
        <v>1</v>
      </c>
      <c r="C99" s="77" t="s">
        <v>540</v>
      </c>
      <c r="D99" s="77">
        <v>1210</v>
      </c>
      <c r="E99" s="77">
        <v>4</v>
      </c>
      <c r="F99" s="23" t="s">
        <v>568</v>
      </c>
      <c r="G99" s="23" t="s">
        <v>567</v>
      </c>
    </row>
    <row r="100" spans="1:7">
      <c r="A100" s="67" t="s">
        <v>355</v>
      </c>
      <c r="B100" s="77">
        <v>1</v>
      </c>
      <c r="C100" s="77" t="s">
        <v>519</v>
      </c>
      <c r="D100" s="77">
        <v>1140</v>
      </c>
      <c r="E100" s="77">
        <v>1</v>
      </c>
      <c r="F100" s="23" t="s">
        <v>476</v>
      </c>
      <c r="G100" s="23" t="s">
        <v>603</v>
      </c>
    </row>
    <row r="101" spans="1:7">
      <c r="A101" s="67" t="s">
        <v>355</v>
      </c>
      <c r="B101" s="77">
        <v>1</v>
      </c>
      <c r="C101" s="77" t="s">
        <v>539</v>
      </c>
      <c r="D101" s="77">
        <v>1170</v>
      </c>
      <c r="E101" s="77">
        <v>2</v>
      </c>
      <c r="F101" s="23" t="s">
        <v>476</v>
      </c>
      <c r="G101" s="23" t="s">
        <v>603</v>
      </c>
    </row>
    <row r="102" spans="1:7">
      <c r="A102" s="67" t="s">
        <v>355</v>
      </c>
      <c r="B102" s="77">
        <v>1</v>
      </c>
      <c r="C102" s="77" t="s">
        <v>540</v>
      </c>
      <c r="D102" s="77">
        <v>1210</v>
      </c>
      <c r="E102" s="77">
        <v>8</v>
      </c>
      <c r="F102" s="23" t="s">
        <v>476</v>
      </c>
      <c r="G102" s="23" t="s">
        <v>603</v>
      </c>
    </row>
    <row r="103" spans="1:7">
      <c r="A103" s="67" t="s">
        <v>355</v>
      </c>
      <c r="B103" s="77">
        <v>1</v>
      </c>
      <c r="C103" s="77" t="s">
        <v>541</v>
      </c>
      <c r="D103" s="77">
        <v>1255</v>
      </c>
      <c r="E103" s="77">
        <v>2</v>
      </c>
      <c r="F103" s="23" t="s">
        <v>476</v>
      </c>
      <c r="G103" s="23" t="s">
        <v>603</v>
      </c>
    </row>
    <row r="104" spans="1:7">
      <c r="A104" s="67" t="s">
        <v>355</v>
      </c>
      <c r="B104" s="77">
        <v>1</v>
      </c>
      <c r="C104" s="77" t="s">
        <v>539</v>
      </c>
      <c r="D104" s="77">
        <v>1170</v>
      </c>
      <c r="E104" s="77">
        <v>2</v>
      </c>
      <c r="F104" s="23" t="s">
        <v>476</v>
      </c>
      <c r="G104" s="23" t="s">
        <v>603</v>
      </c>
    </row>
    <row r="105" spans="1:7">
      <c r="A105" s="67" t="s">
        <v>355</v>
      </c>
      <c r="B105" s="77">
        <v>1</v>
      </c>
      <c r="C105" s="77" t="s">
        <v>540</v>
      </c>
      <c r="D105" s="77">
        <v>1210</v>
      </c>
      <c r="E105" s="77">
        <v>4</v>
      </c>
      <c r="F105" s="23" t="s">
        <v>476</v>
      </c>
      <c r="G105" s="23" t="s">
        <v>603</v>
      </c>
    </row>
    <row r="106" spans="1:7">
      <c r="A106" s="67" t="s">
        <v>355</v>
      </c>
      <c r="B106" s="77">
        <v>2</v>
      </c>
      <c r="C106" s="77" t="s">
        <v>684</v>
      </c>
      <c r="D106" s="77">
        <v>638</v>
      </c>
      <c r="E106" s="77">
        <v>3</v>
      </c>
      <c r="F106" s="23" t="s">
        <v>608</v>
      </c>
      <c r="G106" s="23" t="s">
        <v>607</v>
      </c>
    </row>
    <row r="107" spans="1:7">
      <c r="A107" s="67" t="s">
        <v>355</v>
      </c>
      <c r="B107" s="77">
        <v>3</v>
      </c>
      <c r="C107" s="77" t="s">
        <v>684</v>
      </c>
      <c r="D107" s="77">
        <v>840</v>
      </c>
      <c r="E107" s="77">
        <v>1</v>
      </c>
      <c r="F107" s="23" t="s">
        <v>608</v>
      </c>
      <c r="G107" s="23" t="s">
        <v>607</v>
      </c>
    </row>
    <row r="108" spans="1:7">
      <c r="A108" s="67" t="s">
        <v>355</v>
      </c>
      <c r="B108" s="77">
        <v>4</v>
      </c>
      <c r="C108" s="77" t="s">
        <v>684</v>
      </c>
      <c r="D108" s="77">
        <v>875</v>
      </c>
      <c r="E108" s="77">
        <v>1</v>
      </c>
      <c r="F108" s="23" t="s">
        <v>608</v>
      </c>
      <c r="G108" s="23" t="s">
        <v>607</v>
      </c>
    </row>
    <row r="109" spans="1:7">
      <c r="A109" s="67" t="s">
        <v>374</v>
      </c>
      <c r="B109" s="77">
        <v>1</v>
      </c>
      <c r="C109" s="77" t="s">
        <v>373</v>
      </c>
      <c r="D109" s="77">
        <v>766</v>
      </c>
      <c r="E109" s="77">
        <v>2</v>
      </c>
      <c r="F109" s="23" t="s">
        <v>49</v>
      </c>
      <c r="G109" s="23" t="s">
        <v>47</v>
      </c>
    </row>
    <row r="110" spans="1:7">
      <c r="A110" s="67" t="s">
        <v>374</v>
      </c>
      <c r="B110" s="77">
        <v>1</v>
      </c>
      <c r="C110" s="77" t="s">
        <v>522</v>
      </c>
      <c r="D110" s="77">
        <v>790</v>
      </c>
      <c r="E110" s="77">
        <v>1</v>
      </c>
      <c r="F110" s="23" t="s">
        <v>476</v>
      </c>
      <c r="G110" s="23" t="s">
        <v>475</v>
      </c>
    </row>
    <row r="111" spans="1:7">
      <c r="A111" s="67" t="s">
        <v>374</v>
      </c>
      <c r="B111" s="77">
        <v>1</v>
      </c>
      <c r="C111" s="77" t="s">
        <v>522</v>
      </c>
      <c r="D111" s="77">
        <v>790</v>
      </c>
      <c r="E111" s="77">
        <v>1</v>
      </c>
      <c r="F111" s="23" t="s">
        <v>476</v>
      </c>
      <c r="G111" s="23" t="s">
        <v>563</v>
      </c>
    </row>
    <row r="112" spans="1:7">
      <c r="A112" s="67" t="s">
        <v>374</v>
      </c>
      <c r="B112" s="77">
        <v>1</v>
      </c>
      <c r="C112" s="77" t="s">
        <v>522</v>
      </c>
      <c r="D112" s="77">
        <v>790</v>
      </c>
      <c r="E112" s="77">
        <v>1</v>
      </c>
      <c r="F112" s="23" t="s">
        <v>568</v>
      </c>
      <c r="G112" s="23" t="s">
        <v>567</v>
      </c>
    </row>
    <row r="113" spans="1:7">
      <c r="A113" s="67" t="s">
        <v>374</v>
      </c>
      <c r="B113" s="77">
        <v>1</v>
      </c>
      <c r="C113" s="77" t="s">
        <v>522</v>
      </c>
      <c r="D113" s="77">
        <v>790</v>
      </c>
      <c r="E113" s="77">
        <v>1</v>
      </c>
      <c r="F113" s="23" t="s">
        <v>476</v>
      </c>
      <c r="G113" s="23" t="s">
        <v>603</v>
      </c>
    </row>
    <row r="114" spans="1:7">
      <c r="A114" s="67" t="s">
        <v>352</v>
      </c>
      <c r="B114" s="77">
        <v>1</v>
      </c>
      <c r="C114" s="77" t="s">
        <v>351</v>
      </c>
      <c r="D114" s="77">
        <v>1056</v>
      </c>
      <c r="E114" s="77">
        <v>1</v>
      </c>
      <c r="F114" s="23" t="s">
        <v>49</v>
      </c>
      <c r="G114" s="23" t="s">
        <v>47</v>
      </c>
    </row>
    <row r="115" spans="1:7">
      <c r="A115" s="67" t="s">
        <v>352</v>
      </c>
      <c r="B115" s="77">
        <v>1</v>
      </c>
      <c r="C115" s="77" t="s">
        <v>401</v>
      </c>
      <c r="D115" s="77">
        <v>1198</v>
      </c>
      <c r="E115" s="77">
        <v>6</v>
      </c>
      <c r="F115" s="23" t="s">
        <v>49</v>
      </c>
      <c r="G115" s="23" t="s">
        <v>47</v>
      </c>
    </row>
    <row r="116" spans="1:7">
      <c r="A116" s="67" t="s">
        <v>352</v>
      </c>
      <c r="B116" s="77">
        <v>1</v>
      </c>
      <c r="C116" s="77" t="s">
        <v>401</v>
      </c>
      <c r="D116" s="77">
        <v>1198</v>
      </c>
      <c r="E116" s="77">
        <v>20</v>
      </c>
      <c r="F116" s="23" t="s">
        <v>49</v>
      </c>
      <c r="G116" s="23" t="s">
        <v>47</v>
      </c>
    </row>
    <row r="117" spans="1:7">
      <c r="A117" s="67" t="s">
        <v>352</v>
      </c>
      <c r="B117" s="77">
        <v>1</v>
      </c>
      <c r="C117" s="77" t="s">
        <v>401</v>
      </c>
      <c r="D117" s="77">
        <v>1198</v>
      </c>
      <c r="E117" s="77">
        <v>4</v>
      </c>
      <c r="F117" s="23" t="s">
        <v>49</v>
      </c>
      <c r="G117" s="23" t="s">
        <v>47</v>
      </c>
    </row>
    <row r="118" spans="1:7">
      <c r="A118" s="67" t="s">
        <v>352</v>
      </c>
      <c r="B118" s="77">
        <v>9</v>
      </c>
      <c r="C118" s="77" t="s">
        <v>429</v>
      </c>
      <c r="D118" s="77">
        <v>1956</v>
      </c>
      <c r="E118" s="77">
        <v>2</v>
      </c>
      <c r="F118" s="23" t="s">
        <v>49</v>
      </c>
      <c r="G118" s="23" t="s">
        <v>47</v>
      </c>
    </row>
    <row r="119" spans="1:7">
      <c r="A119" s="67" t="s">
        <v>352</v>
      </c>
      <c r="B119" s="77">
        <v>10</v>
      </c>
      <c r="C119" s="77" t="s">
        <v>429</v>
      </c>
      <c r="D119" s="77">
        <v>2116</v>
      </c>
      <c r="E119" s="77">
        <v>2</v>
      </c>
      <c r="F119" s="23" t="s">
        <v>49</v>
      </c>
      <c r="G119" s="23" t="s">
        <v>47</v>
      </c>
    </row>
    <row r="120" spans="1:7">
      <c r="A120" s="67" t="s">
        <v>352</v>
      </c>
      <c r="B120" s="77">
        <v>11</v>
      </c>
      <c r="C120" s="77" t="s">
        <v>429</v>
      </c>
      <c r="D120" s="77">
        <v>2356</v>
      </c>
      <c r="E120" s="77">
        <v>2</v>
      </c>
      <c r="F120" s="23" t="s">
        <v>49</v>
      </c>
      <c r="G120" s="23" t="s">
        <v>47</v>
      </c>
    </row>
    <row r="121" spans="1:7">
      <c r="A121" s="67" t="s">
        <v>352</v>
      </c>
      <c r="B121" s="77">
        <v>12</v>
      </c>
      <c r="C121" s="77" t="s">
        <v>429</v>
      </c>
      <c r="D121" s="77">
        <v>1217</v>
      </c>
      <c r="E121" s="77">
        <v>2</v>
      </c>
      <c r="F121" s="23" t="s">
        <v>49</v>
      </c>
      <c r="G121" s="23" t="s">
        <v>47</v>
      </c>
    </row>
    <row r="122" spans="1:7">
      <c r="A122" s="67" t="s">
        <v>352</v>
      </c>
      <c r="B122" s="77">
        <v>13</v>
      </c>
      <c r="C122" s="77" t="s">
        <v>429</v>
      </c>
      <c r="D122" s="77">
        <v>1479</v>
      </c>
      <c r="E122" s="77">
        <v>2</v>
      </c>
      <c r="F122" s="23" t="s">
        <v>49</v>
      </c>
      <c r="G122" s="23" t="s">
        <v>47</v>
      </c>
    </row>
    <row r="123" spans="1:7">
      <c r="A123" s="67" t="s">
        <v>352</v>
      </c>
      <c r="B123" s="77">
        <v>9</v>
      </c>
      <c r="C123" s="77" t="s">
        <v>433</v>
      </c>
      <c r="D123" s="77">
        <v>2180</v>
      </c>
      <c r="E123" s="77">
        <v>2</v>
      </c>
      <c r="F123" s="23" t="s">
        <v>49</v>
      </c>
      <c r="G123" s="23" t="s">
        <v>47</v>
      </c>
    </row>
    <row r="124" spans="1:7">
      <c r="A124" s="67" t="s">
        <v>352</v>
      </c>
      <c r="B124" s="77">
        <v>10</v>
      </c>
      <c r="C124" s="77" t="s">
        <v>433</v>
      </c>
      <c r="D124" s="77">
        <v>2313</v>
      </c>
      <c r="E124" s="77">
        <v>2</v>
      </c>
      <c r="F124" s="23" t="s">
        <v>49</v>
      </c>
      <c r="G124" s="23" t="s">
        <v>47</v>
      </c>
    </row>
    <row r="125" spans="1:7">
      <c r="A125" s="67" t="s">
        <v>352</v>
      </c>
      <c r="B125" s="77">
        <v>11</v>
      </c>
      <c r="C125" s="77" t="s">
        <v>433</v>
      </c>
      <c r="D125" s="77">
        <v>2541</v>
      </c>
      <c r="E125" s="77">
        <v>2</v>
      </c>
      <c r="F125" s="23" t="s">
        <v>49</v>
      </c>
      <c r="G125" s="23" t="s">
        <v>47</v>
      </c>
    </row>
    <row r="126" spans="1:7">
      <c r="A126" s="67" t="s">
        <v>352</v>
      </c>
      <c r="B126" s="77">
        <v>12</v>
      </c>
      <c r="C126" s="77" t="s">
        <v>433</v>
      </c>
      <c r="D126" s="77">
        <v>1245</v>
      </c>
      <c r="E126" s="77">
        <v>2</v>
      </c>
      <c r="F126" s="23" t="s">
        <v>49</v>
      </c>
      <c r="G126" s="23" t="s">
        <v>47</v>
      </c>
    </row>
    <row r="127" spans="1:7">
      <c r="A127" s="67" t="s">
        <v>352</v>
      </c>
      <c r="B127" s="77">
        <v>13</v>
      </c>
      <c r="C127" s="77" t="s">
        <v>433</v>
      </c>
      <c r="D127" s="77">
        <v>1512</v>
      </c>
      <c r="E127" s="77">
        <v>2</v>
      </c>
      <c r="F127" s="23" t="s">
        <v>49</v>
      </c>
      <c r="G127" s="23" t="s">
        <v>47</v>
      </c>
    </row>
    <row r="128" spans="1:7">
      <c r="A128" s="67" t="s">
        <v>352</v>
      </c>
      <c r="B128" s="77">
        <v>1</v>
      </c>
      <c r="C128" s="77" t="s">
        <v>534</v>
      </c>
      <c r="D128" s="77">
        <v>600</v>
      </c>
      <c r="E128" s="77">
        <v>7</v>
      </c>
      <c r="F128" s="23" t="s">
        <v>476</v>
      </c>
      <c r="G128" s="23" t="s">
        <v>475</v>
      </c>
    </row>
    <row r="129" spans="1:7">
      <c r="A129" s="67" t="s">
        <v>352</v>
      </c>
      <c r="B129" s="77">
        <v>5</v>
      </c>
      <c r="C129" s="77" t="s">
        <v>547</v>
      </c>
      <c r="D129" s="77">
        <v>786</v>
      </c>
      <c r="E129" s="77">
        <v>2</v>
      </c>
      <c r="F129" s="23" t="s">
        <v>476</v>
      </c>
      <c r="G129" s="23" t="s">
        <v>475</v>
      </c>
    </row>
    <row r="130" spans="1:7">
      <c r="A130" s="67" t="s">
        <v>352</v>
      </c>
      <c r="B130" s="77">
        <v>10</v>
      </c>
      <c r="C130" s="77" t="s">
        <v>549</v>
      </c>
      <c r="D130" s="77">
        <v>1230</v>
      </c>
      <c r="E130" s="77">
        <v>2</v>
      </c>
      <c r="F130" s="23" t="s">
        <v>476</v>
      </c>
      <c r="G130" s="23" t="s">
        <v>475</v>
      </c>
    </row>
    <row r="131" spans="1:7">
      <c r="A131" s="67" t="s">
        <v>352</v>
      </c>
      <c r="B131" s="77">
        <v>11</v>
      </c>
      <c r="C131" s="77" t="s">
        <v>549</v>
      </c>
      <c r="D131" s="77">
        <v>1478</v>
      </c>
      <c r="E131" s="77">
        <v>2</v>
      </c>
      <c r="F131" s="23" t="s">
        <v>476</v>
      </c>
      <c r="G131" s="23" t="s">
        <v>475</v>
      </c>
    </row>
    <row r="132" spans="1:7">
      <c r="A132" s="67" t="s">
        <v>352</v>
      </c>
      <c r="B132" s="77">
        <v>12</v>
      </c>
      <c r="C132" s="77" t="s">
        <v>549</v>
      </c>
      <c r="D132" s="77">
        <v>1651</v>
      </c>
      <c r="E132" s="77">
        <v>2</v>
      </c>
      <c r="F132" s="23" t="s">
        <v>476</v>
      </c>
      <c r="G132" s="23" t="s">
        <v>475</v>
      </c>
    </row>
    <row r="133" spans="1:7">
      <c r="A133" s="67" t="s">
        <v>352</v>
      </c>
      <c r="B133" s="77">
        <v>13</v>
      </c>
      <c r="C133" s="77" t="s">
        <v>549</v>
      </c>
      <c r="D133" s="77">
        <v>1829</v>
      </c>
      <c r="E133" s="77">
        <v>2</v>
      </c>
      <c r="F133" s="23" t="s">
        <v>476</v>
      </c>
      <c r="G133" s="23" t="s">
        <v>475</v>
      </c>
    </row>
    <row r="134" spans="1:7">
      <c r="A134" s="67" t="s">
        <v>352</v>
      </c>
      <c r="B134" s="77">
        <v>14</v>
      </c>
      <c r="C134" s="77" t="s">
        <v>549</v>
      </c>
      <c r="D134" s="77">
        <v>1993</v>
      </c>
      <c r="E134" s="77">
        <v>2</v>
      </c>
      <c r="F134" s="23" t="s">
        <v>476</v>
      </c>
      <c r="G134" s="23" t="s">
        <v>475</v>
      </c>
    </row>
    <row r="135" spans="1:7">
      <c r="A135" s="67" t="s">
        <v>352</v>
      </c>
      <c r="B135" s="77">
        <v>15</v>
      </c>
      <c r="C135" s="77" t="s">
        <v>549</v>
      </c>
      <c r="D135" s="77">
        <v>2167</v>
      </c>
      <c r="E135" s="77">
        <v>2</v>
      </c>
      <c r="F135" s="23" t="s">
        <v>476</v>
      </c>
      <c r="G135" s="23" t="s">
        <v>475</v>
      </c>
    </row>
    <row r="136" spans="1:7">
      <c r="A136" s="67" t="s">
        <v>352</v>
      </c>
      <c r="B136" s="77">
        <v>16</v>
      </c>
      <c r="C136" s="77" t="s">
        <v>549</v>
      </c>
      <c r="D136" s="77">
        <v>2322</v>
      </c>
      <c r="E136" s="77">
        <v>2</v>
      </c>
      <c r="F136" s="23" t="s">
        <v>476</v>
      </c>
      <c r="G136" s="23" t="s">
        <v>475</v>
      </c>
    </row>
    <row r="137" spans="1:7">
      <c r="A137" s="67" t="s">
        <v>352</v>
      </c>
      <c r="B137" s="77">
        <v>9</v>
      </c>
      <c r="C137" s="77" t="s">
        <v>550</v>
      </c>
      <c r="D137" s="77">
        <v>1363</v>
      </c>
      <c r="E137" s="77">
        <v>2</v>
      </c>
      <c r="F137" s="23" t="s">
        <v>476</v>
      </c>
      <c r="G137" s="23" t="s">
        <v>475</v>
      </c>
    </row>
    <row r="138" spans="1:7">
      <c r="A138" s="67" t="s">
        <v>352</v>
      </c>
      <c r="B138" s="77">
        <v>10</v>
      </c>
      <c r="C138" s="77" t="s">
        <v>550</v>
      </c>
      <c r="D138" s="77">
        <v>1595</v>
      </c>
      <c r="E138" s="77">
        <v>2</v>
      </c>
      <c r="F138" s="23" t="s">
        <v>476</v>
      </c>
      <c r="G138" s="23" t="s">
        <v>475</v>
      </c>
    </row>
    <row r="139" spans="1:7">
      <c r="A139" s="67" t="s">
        <v>352</v>
      </c>
      <c r="B139" s="77">
        <v>11</v>
      </c>
      <c r="C139" s="77" t="s">
        <v>550</v>
      </c>
      <c r="D139" s="77">
        <v>2301</v>
      </c>
      <c r="E139" s="77">
        <v>2</v>
      </c>
      <c r="F139" s="23" t="s">
        <v>476</v>
      </c>
      <c r="G139" s="23" t="s">
        <v>475</v>
      </c>
    </row>
    <row r="140" spans="1:7">
      <c r="A140" s="67" t="s">
        <v>352</v>
      </c>
      <c r="B140" s="77">
        <v>12</v>
      </c>
      <c r="C140" s="77" t="s">
        <v>550</v>
      </c>
      <c r="D140" s="77">
        <v>2105</v>
      </c>
      <c r="E140" s="77">
        <v>2</v>
      </c>
      <c r="F140" s="23" t="s">
        <v>476</v>
      </c>
      <c r="G140" s="23" t="s">
        <v>475</v>
      </c>
    </row>
    <row r="141" spans="1:7">
      <c r="A141" s="67" t="s">
        <v>352</v>
      </c>
      <c r="B141" s="77">
        <v>13</v>
      </c>
      <c r="C141" s="77" t="s">
        <v>550</v>
      </c>
      <c r="D141" s="77">
        <v>1904</v>
      </c>
      <c r="E141" s="77">
        <v>2</v>
      </c>
      <c r="F141" s="23" t="s">
        <v>476</v>
      </c>
      <c r="G141" s="23" t="s">
        <v>475</v>
      </c>
    </row>
    <row r="142" spans="1:7">
      <c r="A142" s="67" t="s">
        <v>352</v>
      </c>
      <c r="B142" s="77">
        <v>1</v>
      </c>
      <c r="C142" s="77" t="s">
        <v>534</v>
      </c>
      <c r="D142" s="77">
        <v>600</v>
      </c>
      <c r="E142" s="77">
        <v>7</v>
      </c>
      <c r="F142" s="23" t="s">
        <v>476</v>
      </c>
      <c r="G142" s="23" t="s">
        <v>563</v>
      </c>
    </row>
    <row r="143" spans="1:7">
      <c r="A143" s="67" t="s">
        <v>352</v>
      </c>
      <c r="B143" s="77">
        <v>10</v>
      </c>
      <c r="C143" s="77" t="s">
        <v>549</v>
      </c>
      <c r="D143" s="77">
        <v>1230</v>
      </c>
      <c r="E143" s="77">
        <v>2</v>
      </c>
      <c r="F143" s="23" t="s">
        <v>476</v>
      </c>
      <c r="G143" s="23" t="s">
        <v>563</v>
      </c>
    </row>
    <row r="144" spans="1:7">
      <c r="A144" s="67" t="s">
        <v>352</v>
      </c>
      <c r="B144" s="77">
        <v>11</v>
      </c>
      <c r="C144" s="77" t="s">
        <v>549</v>
      </c>
      <c r="D144" s="77">
        <v>1478</v>
      </c>
      <c r="E144" s="77">
        <v>2</v>
      </c>
      <c r="F144" s="23" t="s">
        <v>476</v>
      </c>
      <c r="G144" s="23" t="s">
        <v>563</v>
      </c>
    </row>
    <row r="145" spans="1:7">
      <c r="A145" s="67" t="s">
        <v>352</v>
      </c>
      <c r="B145" s="77">
        <v>12</v>
      </c>
      <c r="C145" s="77" t="s">
        <v>549</v>
      </c>
      <c r="D145" s="77">
        <v>1651</v>
      </c>
      <c r="E145" s="77">
        <v>2</v>
      </c>
      <c r="F145" s="23" t="s">
        <v>476</v>
      </c>
      <c r="G145" s="23" t="s">
        <v>563</v>
      </c>
    </row>
    <row r="146" spans="1:7">
      <c r="A146" s="67" t="s">
        <v>352</v>
      </c>
      <c r="B146" s="77">
        <v>13</v>
      </c>
      <c r="C146" s="77" t="s">
        <v>549</v>
      </c>
      <c r="D146" s="77">
        <v>1829</v>
      </c>
      <c r="E146" s="77">
        <v>2</v>
      </c>
      <c r="F146" s="23" t="s">
        <v>476</v>
      </c>
      <c r="G146" s="23" t="s">
        <v>563</v>
      </c>
    </row>
    <row r="147" spans="1:7">
      <c r="A147" s="67" t="s">
        <v>352</v>
      </c>
      <c r="B147" s="77">
        <v>14</v>
      </c>
      <c r="C147" s="77" t="s">
        <v>549</v>
      </c>
      <c r="D147" s="77">
        <v>1993</v>
      </c>
      <c r="E147" s="77">
        <v>2</v>
      </c>
      <c r="F147" s="23" t="s">
        <v>476</v>
      </c>
      <c r="G147" s="23" t="s">
        <v>563</v>
      </c>
    </row>
    <row r="148" spans="1:7">
      <c r="A148" s="67" t="s">
        <v>352</v>
      </c>
      <c r="B148" s="77">
        <v>15</v>
      </c>
      <c r="C148" s="77" t="s">
        <v>549</v>
      </c>
      <c r="D148" s="77">
        <v>2167</v>
      </c>
      <c r="E148" s="77">
        <v>2</v>
      </c>
      <c r="F148" s="23" t="s">
        <v>476</v>
      </c>
      <c r="G148" s="23" t="s">
        <v>563</v>
      </c>
    </row>
    <row r="149" spans="1:7">
      <c r="A149" s="67" t="s">
        <v>352</v>
      </c>
      <c r="B149" s="77">
        <v>16</v>
      </c>
      <c r="C149" s="77" t="s">
        <v>549</v>
      </c>
      <c r="D149" s="77">
        <v>2322</v>
      </c>
      <c r="E149" s="77">
        <v>2</v>
      </c>
      <c r="F149" s="23" t="s">
        <v>476</v>
      </c>
      <c r="G149" s="23" t="s">
        <v>563</v>
      </c>
    </row>
    <row r="150" spans="1:7">
      <c r="A150" s="67" t="s">
        <v>352</v>
      </c>
      <c r="B150" s="77">
        <v>9</v>
      </c>
      <c r="C150" s="77" t="s">
        <v>565</v>
      </c>
      <c r="D150" s="77">
        <v>1304</v>
      </c>
      <c r="E150" s="77">
        <v>2</v>
      </c>
      <c r="F150" s="23" t="s">
        <v>476</v>
      </c>
      <c r="G150" s="23" t="s">
        <v>563</v>
      </c>
    </row>
    <row r="151" spans="1:7">
      <c r="A151" s="67" t="s">
        <v>352</v>
      </c>
      <c r="B151" s="77">
        <v>10</v>
      </c>
      <c r="C151" s="77" t="s">
        <v>565</v>
      </c>
      <c r="D151" s="77">
        <v>1514</v>
      </c>
      <c r="E151" s="77">
        <v>2</v>
      </c>
      <c r="F151" s="23" t="s">
        <v>476</v>
      </c>
      <c r="G151" s="23" t="s">
        <v>563</v>
      </c>
    </row>
    <row r="152" spans="1:7">
      <c r="A152" s="67" t="s">
        <v>352</v>
      </c>
      <c r="B152" s="77">
        <v>11</v>
      </c>
      <c r="C152" s="77" t="s">
        <v>565</v>
      </c>
      <c r="D152" s="77">
        <v>2032</v>
      </c>
      <c r="E152" s="77">
        <v>2</v>
      </c>
      <c r="F152" s="23" t="s">
        <v>476</v>
      </c>
      <c r="G152" s="23" t="s">
        <v>563</v>
      </c>
    </row>
    <row r="153" spans="1:7">
      <c r="A153" s="67" t="s">
        <v>352</v>
      </c>
      <c r="B153" s="77">
        <v>12</v>
      </c>
      <c r="C153" s="77" t="s">
        <v>565</v>
      </c>
      <c r="D153" s="77">
        <v>1820</v>
      </c>
      <c r="E153" s="77">
        <v>2</v>
      </c>
      <c r="F153" s="23" t="s">
        <v>476</v>
      </c>
      <c r="G153" s="23" t="s">
        <v>563</v>
      </c>
    </row>
    <row r="154" spans="1:7">
      <c r="A154" s="67" t="s">
        <v>352</v>
      </c>
      <c r="B154" s="77">
        <v>13</v>
      </c>
      <c r="C154" s="77" t="s">
        <v>565</v>
      </c>
      <c r="D154" s="77">
        <v>1615</v>
      </c>
      <c r="E154" s="77">
        <v>2</v>
      </c>
      <c r="F154" s="23" t="s">
        <v>476</v>
      </c>
      <c r="G154" s="23" t="s">
        <v>563</v>
      </c>
    </row>
    <row r="155" spans="1:7">
      <c r="A155" s="67" t="s">
        <v>352</v>
      </c>
      <c r="B155" s="77">
        <v>1</v>
      </c>
      <c r="C155" s="77" t="s">
        <v>534</v>
      </c>
      <c r="D155" s="77">
        <v>600</v>
      </c>
      <c r="E155" s="77">
        <v>7</v>
      </c>
      <c r="F155" s="23" t="s">
        <v>568</v>
      </c>
      <c r="G155" s="23" t="s">
        <v>567</v>
      </c>
    </row>
    <row r="156" spans="1:7">
      <c r="A156" s="67" t="s">
        <v>352</v>
      </c>
      <c r="B156" s="77">
        <v>1</v>
      </c>
      <c r="C156" s="77" t="s">
        <v>534</v>
      </c>
      <c r="D156" s="77">
        <v>600</v>
      </c>
      <c r="E156" s="77">
        <v>7</v>
      </c>
      <c r="F156" s="23" t="s">
        <v>476</v>
      </c>
      <c r="G156" s="23" t="s">
        <v>603</v>
      </c>
    </row>
    <row r="157" spans="1:7">
      <c r="A157" s="67" t="s">
        <v>352</v>
      </c>
      <c r="B157" s="77">
        <v>10</v>
      </c>
      <c r="C157" s="77" t="s">
        <v>549</v>
      </c>
      <c r="D157" s="77">
        <v>1230</v>
      </c>
      <c r="E157" s="77">
        <v>2</v>
      </c>
      <c r="F157" s="23" t="s">
        <v>476</v>
      </c>
      <c r="G157" s="23" t="s">
        <v>603</v>
      </c>
    </row>
    <row r="158" spans="1:7">
      <c r="A158" s="67" t="s">
        <v>352</v>
      </c>
      <c r="B158" s="77">
        <v>11</v>
      </c>
      <c r="C158" s="77" t="s">
        <v>549</v>
      </c>
      <c r="D158" s="77">
        <v>1478</v>
      </c>
      <c r="E158" s="77">
        <v>2</v>
      </c>
      <c r="F158" s="23" t="s">
        <v>476</v>
      </c>
      <c r="G158" s="23" t="s">
        <v>603</v>
      </c>
    </row>
    <row r="159" spans="1:7">
      <c r="A159" s="67" t="s">
        <v>352</v>
      </c>
      <c r="B159" s="77">
        <v>12</v>
      </c>
      <c r="C159" s="77" t="s">
        <v>549</v>
      </c>
      <c r="D159" s="77">
        <v>1651</v>
      </c>
      <c r="E159" s="77">
        <v>2</v>
      </c>
      <c r="F159" s="23" t="s">
        <v>476</v>
      </c>
      <c r="G159" s="23" t="s">
        <v>603</v>
      </c>
    </row>
    <row r="160" spans="1:7">
      <c r="A160" s="67" t="s">
        <v>352</v>
      </c>
      <c r="B160" s="77">
        <v>13</v>
      </c>
      <c r="C160" s="77" t="s">
        <v>549</v>
      </c>
      <c r="D160" s="77">
        <v>1829</v>
      </c>
      <c r="E160" s="77">
        <v>2</v>
      </c>
      <c r="F160" s="23" t="s">
        <v>476</v>
      </c>
      <c r="G160" s="23" t="s">
        <v>603</v>
      </c>
    </row>
    <row r="161" spans="1:7">
      <c r="A161" s="67" t="s">
        <v>352</v>
      </c>
      <c r="B161" s="77">
        <v>14</v>
      </c>
      <c r="C161" s="77" t="s">
        <v>549</v>
      </c>
      <c r="D161" s="77">
        <v>1993</v>
      </c>
      <c r="E161" s="77">
        <v>2</v>
      </c>
      <c r="F161" s="23" t="s">
        <v>476</v>
      </c>
      <c r="G161" s="23" t="s">
        <v>603</v>
      </c>
    </row>
    <row r="162" spans="1:7">
      <c r="A162" s="67" t="s">
        <v>352</v>
      </c>
      <c r="B162" s="77">
        <v>15</v>
      </c>
      <c r="C162" s="77" t="s">
        <v>549</v>
      </c>
      <c r="D162" s="77">
        <v>2167</v>
      </c>
      <c r="E162" s="77">
        <v>2</v>
      </c>
      <c r="F162" s="23" t="s">
        <v>476</v>
      </c>
      <c r="G162" s="23" t="s">
        <v>603</v>
      </c>
    </row>
    <row r="163" spans="1:7">
      <c r="A163" s="67" t="s">
        <v>352</v>
      </c>
      <c r="B163" s="77">
        <v>16</v>
      </c>
      <c r="C163" s="77" t="s">
        <v>549</v>
      </c>
      <c r="D163" s="77">
        <v>2322</v>
      </c>
      <c r="E163" s="77">
        <v>2</v>
      </c>
      <c r="F163" s="23" t="s">
        <v>476</v>
      </c>
      <c r="G163" s="23" t="s">
        <v>603</v>
      </c>
    </row>
    <row r="164" spans="1:7">
      <c r="A164" s="67" t="s">
        <v>352</v>
      </c>
      <c r="B164" s="77">
        <v>9</v>
      </c>
      <c r="C164" s="77" t="s">
        <v>565</v>
      </c>
      <c r="D164" s="77">
        <v>1304</v>
      </c>
      <c r="E164" s="77">
        <v>2</v>
      </c>
      <c r="F164" s="23" t="s">
        <v>476</v>
      </c>
      <c r="G164" s="23" t="s">
        <v>603</v>
      </c>
    </row>
    <row r="165" spans="1:7">
      <c r="A165" s="67" t="s">
        <v>352</v>
      </c>
      <c r="B165" s="77">
        <v>10</v>
      </c>
      <c r="C165" s="77" t="s">
        <v>565</v>
      </c>
      <c r="D165" s="77">
        <v>1514</v>
      </c>
      <c r="E165" s="77">
        <v>2</v>
      </c>
      <c r="F165" s="23" t="s">
        <v>476</v>
      </c>
      <c r="G165" s="23" t="s">
        <v>603</v>
      </c>
    </row>
    <row r="166" spans="1:7">
      <c r="A166" s="67" t="s">
        <v>352</v>
      </c>
      <c r="B166" s="77">
        <v>11</v>
      </c>
      <c r="C166" s="77" t="s">
        <v>565</v>
      </c>
      <c r="D166" s="77">
        <v>2032</v>
      </c>
      <c r="E166" s="77">
        <v>2</v>
      </c>
      <c r="F166" s="23" t="s">
        <v>476</v>
      </c>
      <c r="G166" s="23" t="s">
        <v>603</v>
      </c>
    </row>
    <row r="167" spans="1:7">
      <c r="A167" s="67" t="s">
        <v>352</v>
      </c>
      <c r="B167" s="77">
        <v>12</v>
      </c>
      <c r="C167" s="77" t="s">
        <v>565</v>
      </c>
      <c r="D167" s="77">
        <v>1820</v>
      </c>
      <c r="E167" s="77">
        <v>2</v>
      </c>
      <c r="F167" s="23" t="s">
        <v>476</v>
      </c>
      <c r="G167" s="23" t="s">
        <v>603</v>
      </c>
    </row>
    <row r="168" spans="1:7">
      <c r="A168" s="67" t="s">
        <v>352</v>
      </c>
      <c r="B168" s="77">
        <v>13</v>
      </c>
      <c r="C168" s="77" t="s">
        <v>565</v>
      </c>
      <c r="D168" s="77">
        <v>1615</v>
      </c>
      <c r="E168" s="77">
        <v>2</v>
      </c>
      <c r="F168" s="23" t="s">
        <v>476</v>
      </c>
      <c r="G168" s="23" t="s">
        <v>603</v>
      </c>
    </row>
    <row r="169" spans="1:7">
      <c r="A169" s="67" t="s">
        <v>352</v>
      </c>
      <c r="B169" s="77">
        <v>1</v>
      </c>
      <c r="C169" s="77">
        <v>41532</v>
      </c>
      <c r="D169" s="77">
        <v>600</v>
      </c>
      <c r="E169" s="77">
        <v>4</v>
      </c>
      <c r="F169" s="23" t="s">
        <v>608</v>
      </c>
      <c r="G169" s="23" t="s">
        <v>607</v>
      </c>
    </row>
    <row r="170" spans="1:7">
      <c r="A170" s="67" t="s">
        <v>667</v>
      </c>
      <c r="B170" s="77">
        <v>2</v>
      </c>
      <c r="C170" s="77">
        <v>42425</v>
      </c>
      <c r="D170" s="77">
        <v>50</v>
      </c>
      <c r="E170" s="77">
        <v>2</v>
      </c>
      <c r="F170" s="23" t="s">
        <v>608</v>
      </c>
      <c r="G170" s="23" t="s">
        <v>607</v>
      </c>
    </row>
    <row r="171" spans="1:7">
      <c r="A171" s="67" t="s">
        <v>424</v>
      </c>
      <c r="B171" s="77">
        <v>1</v>
      </c>
      <c r="C171" s="77" t="s">
        <v>423</v>
      </c>
      <c r="D171" s="77">
        <v>100</v>
      </c>
      <c r="E171" s="77">
        <v>2</v>
      </c>
      <c r="F171" s="23" t="s">
        <v>49</v>
      </c>
      <c r="G171" s="23" t="s">
        <v>47</v>
      </c>
    </row>
    <row r="172" spans="1:7">
      <c r="A172" s="67" t="s">
        <v>424</v>
      </c>
      <c r="B172" s="77">
        <v>1</v>
      </c>
      <c r="C172" s="77" t="s">
        <v>423</v>
      </c>
      <c r="D172" s="77">
        <v>100</v>
      </c>
      <c r="E172" s="77">
        <v>2</v>
      </c>
      <c r="F172" s="23" t="s">
        <v>49</v>
      </c>
      <c r="G172" s="23" t="s">
        <v>47</v>
      </c>
    </row>
    <row r="173" spans="1:7">
      <c r="A173" s="67" t="s">
        <v>415</v>
      </c>
      <c r="B173" s="77">
        <v>1</v>
      </c>
      <c r="C173" s="77" t="s">
        <v>414</v>
      </c>
      <c r="D173" s="77">
        <v>700</v>
      </c>
      <c r="E173" s="77">
        <v>2</v>
      </c>
      <c r="F173" s="23" t="s">
        <v>49</v>
      </c>
      <c r="G173" s="23" t="s">
        <v>47</v>
      </c>
    </row>
    <row r="174" spans="1:7">
      <c r="A174" s="67" t="s">
        <v>415</v>
      </c>
      <c r="B174" s="77">
        <v>1</v>
      </c>
      <c r="C174" s="77" t="s">
        <v>564</v>
      </c>
      <c r="D174" s="77">
        <v>700</v>
      </c>
      <c r="E174" s="77">
        <v>2</v>
      </c>
      <c r="F174" s="23" t="s">
        <v>476</v>
      </c>
      <c r="G174" s="23" t="s">
        <v>563</v>
      </c>
    </row>
    <row r="175" spans="1:7">
      <c r="A175" s="67" t="s">
        <v>415</v>
      </c>
      <c r="B175" s="77">
        <v>1</v>
      </c>
      <c r="C175" s="77" t="s">
        <v>564</v>
      </c>
      <c r="D175" s="77">
        <v>700</v>
      </c>
      <c r="E175" s="77">
        <v>2</v>
      </c>
      <c r="F175" s="23" t="s">
        <v>476</v>
      </c>
      <c r="G175" s="23" t="s">
        <v>603</v>
      </c>
    </row>
    <row r="176" spans="1:7">
      <c r="A176" s="67" t="s">
        <v>415</v>
      </c>
      <c r="B176" s="77">
        <v>1</v>
      </c>
      <c r="C176" s="77" t="s">
        <v>683</v>
      </c>
      <c r="D176" s="77">
        <v>700</v>
      </c>
      <c r="E176" s="77">
        <v>2</v>
      </c>
      <c r="F176" s="23" t="s">
        <v>608</v>
      </c>
      <c r="G176" s="23" t="s">
        <v>607</v>
      </c>
    </row>
    <row r="177" spans="1:7">
      <c r="A177" s="67" t="s">
        <v>420</v>
      </c>
      <c r="B177" s="77">
        <v>1</v>
      </c>
      <c r="C177" s="77" t="s">
        <v>419</v>
      </c>
      <c r="D177" s="77">
        <v>260</v>
      </c>
      <c r="E177" s="77">
        <v>2</v>
      </c>
      <c r="F177" s="23" t="s">
        <v>49</v>
      </c>
      <c r="G177" s="23" t="s">
        <v>47</v>
      </c>
    </row>
    <row r="178" spans="1:7">
      <c r="A178" s="67" t="s">
        <v>420</v>
      </c>
      <c r="B178" s="77">
        <v>1</v>
      </c>
      <c r="C178" s="77" t="s">
        <v>419</v>
      </c>
      <c r="D178" s="77">
        <v>260</v>
      </c>
      <c r="E178" s="77">
        <v>2</v>
      </c>
      <c r="F178" s="23" t="s">
        <v>608</v>
      </c>
      <c r="G178" s="23" t="s">
        <v>607</v>
      </c>
    </row>
    <row r="179" spans="1:7">
      <c r="A179" s="67" t="s">
        <v>432</v>
      </c>
      <c r="B179" s="77">
        <v>1</v>
      </c>
      <c r="C179" s="77" t="s">
        <v>431</v>
      </c>
      <c r="D179" s="77">
        <v>100</v>
      </c>
      <c r="E179" s="77">
        <v>2</v>
      </c>
      <c r="F179" s="23" t="s">
        <v>49</v>
      </c>
      <c r="G179" s="23" t="s">
        <v>47</v>
      </c>
    </row>
    <row r="180" spans="1:7">
      <c r="A180" s="67" t="s">
        <v>432</v>
      </c>
      <c r="B180" s="77">
        <v>1</v>
      </c>
      <c r="C180" s="77" t="s">
        <v>431</v>
      </c>
      <c r="D180" s="77">
        <v>100</v>
      </c>
      <c r="E180" s="77">
        <v>2</v>
      </c>
      <c r="F180" s="23" t="s">
        <v>49</v>
      </c>
      <c r="G180" s="23" t="s">
        <v>47</v>
      </c>
    </row>
    <row r="181" spans="1:7">
      <c r="A181" s="67" t="s">
        <v>575</v>
      </c>
      <c r="B181" s="77">
        <v>1</v>
      </c>
      <c r="C181" s="77">
        <v>42242</v>
      </c>
      <c r="D181" s="77">
        <v>100</v>
      </c>
      <c r="E181" s="77">
        <v>2</v>
      </c>
      <c r="F181" s="23" t="s">
        <v>568</v>
      </c>
      <c r="G181" s="23" t="s">
        <v>567</v>
      </c>
    </row>
    <row r="182" spans="1:7">
      <c r="A182" s="67" t="s">
        <v>358</v>
      </c>
      <c r="B182" s="77">
        <v>5</v>
      </c>
      <c r="C182" s="77" t="s">
        <v>357</v>
      </c>
      <c r="D182" s="77">
        <v>75</v>
      </c>
      <c r="E182" s="77">
        <v>2</v>
      </c>
      <c r="F182" s="23" t="s">
        <v>49</v>
      </c>
      <c r="G182" s="23" t="s">
        <v>47</v>
      </c>
    </row>
    <row r="183" spans="1:7">
      <c r="A183" s="67" t="s">
        <v>358</v>
      </c>
      <c r="B183" s="77">
        <v>5</v>
      </c>
      <c r="C183" s="77" t="s">
        <v>520</v>
      </c>
      <c r="D183" s="77">
        <v>75</v>
      </c>
      <c r="E183" s="77">
        <v>2</v>
      </c>
      <c r="F183" s="23" t="s">
        <v>476</v>
      </c>
      <c r="G183" s="23" t="s">
        <v>475</v>
      </c>
    </row>
    <row r="184" spans="1:7">
      <c r="A184" s="67" t="s">
        <v>358</v>
      </c>
      <c r="B184" s="77">
        <v>5</v>
      </c>
      <c r="C184" s="77" t="s">
        <v>520</v>
      </c>
      <c r="D184" s="77">
        <v>75</v>
      </c>
      <c r="E184" s="77">
        <v>2</v>
      </c>
      <c r="F184" s="23" t="s">
        <v>476</v>
      </c>
      <c r="G184" s="23" t="s">
        <v>563</v>
      </c>
    </row>
    <row r="185" spans="1:7">
      <c r="A185" s="67" t="s">
        <v>358</v>
      </c>
      <c r="B185" s="77">
        <v>5</v>
      </c>
      <c r="C185" s="77" t="s">
        <v>520</v>
      </c>
      <c r="D185" s="77">
        <v>75</v>
      </c>
      <c r="E185" s="77">
        <v>2</v>
      </c>
      <c r="F185" s="23" t="s">
        <v>568</v>
      </c>
      <c r="G185" s="23" t="s">
        <v>567</v>
      </c>
    </row>
    <row r="186" spans="1:7">
      <c r="A186" s="67" t="s">
        <v>358</v>
      </c>
      <c r="B186" s="77">
        <v>5</v>
      </c>
      <c r="C186" s="77" t="s">
        <v>520</v>
      </c>
      <c r="D186" s="77">
        <v>75</v>
      </c>
      <c r="E186" s="77">
        <v>2</v>
      </c>
      <c r="F186" s="23" t="s">
        <v>476</v>
      </c>
      <c r="G186" s="23" t="s">
        <v>603</v>
      </c>
    </row>
    <row r="187" spans="1:7">
      <c r="A187" s="67" t="s">
        <v>572</v>
      </c>
      <c r="B187" s="77">
        <v>1</v>
      </c>
      <c r="C187" s="77">
        <v>42244</v>
      </c>
      <c r="D187" s="77">
        <v>150</v>
      </c>
      <c r="E187" s="77">
        <v>2</v>
      </c>
      <c r="F187" s="23" t="s">
        <v>568</v>
      </c>
      <c r="G187" s="23" t="s">
        <v>567</v>
      </c>
    </row>
    <row r="188" spans="1:7">
      <c r="A188" s="67" t="s">
        <v>624</v>
      </c>
      <c r="B188" s="77">
        <v>2</v>
      </c>
      <c r="C188" s="77" t="s">
        <v>623</v>
      </c>
      <c r="D188" s="77">
        <v>30</v>
      </c>
      <c r="E188" s="77">
        <v>1</v>
      </c>
      <c r="F188" s="23" t="s">
        <v>608</v>
      </c>
      <c r="G188" s="23" t="s">
        <v>607</v>
      </c>
    </row>
    <row r="189" spans="1:7">
      <c r="A189" s="67" t="s">
        <v>587</v>
      </c>
      <c r="B189" s="77">
        <v>4</v>
      </c>
      <c r="C189" s="77" t="s">
        <v>586</v>
      </c>
      <c r="D189" s="77">
        <v>58</v>
      </c>
      <c r="E189" s="77">
        <v>1</v>
      </c>
      <c r="F189" s="23" t="s">
        <v>568</v>
      </c>
      <c r="G189" s="23" t="s">
        <v>567</v>
      </c>
    </row>
    <row r="190" spans="1:7">
      <c r="A190" s="67" t="s">
        <v>548</v>
      </c>
      <c r="B190" s="77">
        <v>6</v>
      </c>
      <c r="C190" s="77" t="s">
        <v>547</v>
      </c>
      <c r="D190" s="77">
        <v>1250</v>
      </c>
      <c r="E190" s="77">
        <v>2</v>
      </c>
      <c r="F190" s="23" t="s">
        <v>476</v>
      </c>
      <c r="G190" s="23" t="s">
        <v>475</v>
      </c>
    </row>
    <row r="191" spans="1:7">
      <c r="A191" s="67" t="s">
        <v>701</v>
      </c>
      <c r="B191" s="77">
        <v>4</v>
      </c>
      <c r="C191" s="77" t="s">
        <v>699</v>
      </c>
      <c r="D191" s="77">
        <v>90</v>
      </c>
      <c r="E191" s="77">
        <v>2</v>
      </c>
      <c r="F191" s="23" t="s">
        <v>608</v>
      </c>
      <c r="G191" s="23" t="s">
        <v>607</v>
      </c>
    </row>
    <row r="192" spans="1:7">
      <c r="A192" s="67" t="s">
        <v>626</v>
      </c>
      <c r="B192" s="77">
        <v>2</v>
      </c>
      <c r="C192" s="77" t="s">
        <v>625</v>
      </c>
      <c r="D192" s="77">
        <v>90</v>
      </c>
      <c r="E192" s="77">
        <v>1</v>
      </c>
      <c r="F192" s="23" t="s">
        <v>608</v>
      </c>
      <c r="G192" s="23" t="s">
        <v>607</v>
      </c>
    </row>
    <row r="193" spans="1:7">
      <c r="A193" s="67" t="s">
        <v>582</v>
      </c>
      <c r="B193" s="77">
        <v>4</v>
      </c>
      <c r="C193" s="77" t="s">
        <v>580</v>
      </c>
      <c r="D193" s="77">
        <v>173</v>
      </c>
      <c r="E193" s="77">
        <v>2</v>
      </c>
      <c r="F193" s="23" t="s">
        <v>568</v>
      </c>
      <c r="G193" s="23" t="s">
        <v>567</v>
      </c>
    </row>
    <row r="194" spans="1:7">
      <c r="A194" s="67" t="s">
        <v>571</v>
      </c>
      <c r="B194" s="77">
        <v>8</v>
      </c>
      <c r="C194" s="77" t="s">
        <v>569</v>
      </c>
      <c r="D194" s="77">
        <v>1200</v>
      </c>
      <c r="E194" s="77">
        <v>1</v>
      </c>
      <c r="F194" s="23" t="s">
        <v>568</v>
      </c>
      <c r="G194" s="23" t="s">
        <v>567</v>
      </c>
    </row>
    <row r="195" spans="1:7">
      <c r="A195" s="67" t="s">
        <v>571</v>
      </c>
      <c r="B195" s="77">
        <v>9</v>
      </c>
      <c r="C195" s="77" t="s">
        <v>569</v>
      </c>
      <c r="D195" s="77">
        <v>700</v>
      </c>
      <c r="E195" s="77">
        <v>2</v>
      </c>
      <c r="F195" s="23" t="s">
        <v>568</v>
      </c>
      <c r="G195" s="23" t="s">
        <v>567</v>
      </c>
    </row>
    <row r="196" spans="1:7">
      <c r="A196" s="67" t="s">
        <v>571</v>
      </c>
      <c r="B196" s="77">
        <v>10</v>
      </c>
      <c r="C196" s="77" t="s">
        <v>569</v>
      </c>
      <c r="D196" s="77">
        <v>300</v>
      </c>
      <c r="E196" s="77">
        <v>2</v>
      </c>
      <c r="F196" s="23" t="s">
        <v>568</v>
      </c>
      <c r="G196" s="23" t="s">
        <v>567</v>
      </c>
    </row>
    <row r="197" spans="1:7">
      <c r="A197" s="67" t="s">
        <v>571</v>
      </c>
      <c r="B197" s="77">
        <v>5</v>
      </c>
      <c r="C197" s="77" t="s">
        <v>578</v>
      </c>
      <c r="D197" s="77">
        <v>200</v>
      </c>
      <c r="E197" s="77">
        <v>4</v>
      </c>
      <c r="F197" s="23" t="s">
        <v>568</v>
      </c>
      <c r="G197" s="23" t="s">
        <v>567</v>
      </c>
    </row>
    <row r="198" spans="1:7">
      <c r="A198" s="67" t="s">
        <v>314</v>
      </c>
      <c r="B198" s="77">
        <v>1</v>
      </c>
      <c r="C198" s="77" t="s">
        <v>313</v>
      </c>
      <c r="D198" s="77">
        <v>35</v>
      </c>
      <c r="E198" s="77">
        <v>2</v>
      </c>
      <c r="F198" s="23" t="s">
        <v>49</v>
      </c>
      <c r="G198" s="23" t="s">
        <v>47</v>
      </c>
    </row>
    <row r="199" spans="1:7">
      <c r="A199" s="67" t="s">
        <v>314</v>
      </c>
      <c r="B199" s="77">
        <v>1</v>
      </c>
      <c r="C199" s="77" t="s">
        <v>313</v>
      </c>
      <c r="D199" s="77">
        <v>35</v>
      </c>
      <c r="E199" s="77">
        <v>2</v>
      </c>
      <c r="F199" s="23" t="s">
        <v>476</v>
      </c>
      <c r="G199" s="23" t="s">
        <v>475</v>
      </c>
    </row>
    <row r="200" spans="1:7">
      <c r="A200" s="67" t="s">
        <v>314</v>
      </c>
      <c r="B200" s="77">
        <v>1</v>
      </c>
      <c r="C200" s="77" t="s">
        <v>313</v>
      </c>
      <c r="D200" s="77">
        <v>35</v>
      </c>
      <c r="E200" s="77">
        <v>2</v>
      </c>
      <c r="F200" s="23" t="s">
        <v>476</v>
      </c>
      <c r="G200" s="23" t="s">
        <v>563</v>
      </c>
    </row>
    <row r="201" spans="1:7">
      <c r="A201" s="67" t="s">
        <v>314</v>
      </c>
      <c r="B201" s="77">
        <v>1</v>
      </c>
      <c r="C201" s="77" t="s">
        <v>313</v>
      </c>
      <c r="D201" s="77">
        <v>35</v>
      </c>
      <c r="E201" s="77">
        <v>2</v>
      </c>
      <c r="F201" s="23" t="s">
        <v>568</v>
      </c>
      <c r="G201" s="23" t="s">
        <v>567</v>
      </c>
    </row>
    <row r="202" spans="1:7">
      <c r="A202" s="67" t="s">
        <v>314</v>
      </c>
      <c r="B202" s="77">
        <v>1</v>
      </c>
      <c r="C202" s="77" t="s">
        <v>313</v>
      </c>
      <c r="D202" s="77">
        <v>35</v>
      </c>
      <c r="E202" s="77">
        <v>2</v>
      </c>
      <c r="F202" s="23" t="s">
        <v>476</v>
      </c>
      <c r="G202" s="23" t="s">
        <v>603</v>
      </c>
    </row>
    <row r="203" spans="1:7">
      <c r="A203" s="67" t="s">
        <v>314</v>
      </c>
      <c r="B203" s="77">
        <v>1</v>
      </c>
      <c r="C203" s="77" t="s">
        <v>313</v>
      </c>
      <c r="D203" s="77">
        <v>35</v>
      </c>
      <c r="E203" s="77">
        <v>2</v>
      </c>
      <c r="F203" s="23" t="s">
        <v>608</v>
      </c>
      <c r="G203" s="23" t="s">
        <v>607</v>
      </c>
    </row>
    <row r="204" spans="1:7">
      <c r="A204" s="67" t="s">
        <v>630</v>
      </c>
      <c r="B204" s="77">
        <v>1</v>
      </c>
      <c r="C204" s="77" t="s">
        <v>629</v>
      </c>
      <c r="D204" s="77">
        <v>40</v>
      </c>
      <c r="E204" s="77">
        <v>1</v>
      </c>
      <c r="F204" s="23" t="s">
        <v>608</v>
      </c>
      <c r="G204" s="23" t="s">
        <v>607</v>
      </c>
    </row>
    <row r="205" spans="1:7">
      <c r="A205" s="67" t="s">
        <v>630</v>
      </c>
      <c r="B205" s="77">
        <v>1</v>
      </c>
      <c r="C205" s="77" t="s">
        <v>631</v>
      </c>
      <c r="D205" s="77">
        <v>35</v>
      </c>
      <c r="E205" s="77">
        <v>1</v>
      </c>
      <c r="F205" s="23" t="s">
        <v>608</v>
      </c>
      <c r="G205" s="23" t="s">
        <v>607</v>
      </c>
    </row>
    <row r="206" spans="1:7">
      <c r="A206" s="67" t="s">
        <v>630</v>
      </c>
      <c r="B206" s="77">
        <v>1</v>
      </c>
      <c r="C206" s="77" t="s">
        <v>629</v>
      </c>
      <c r="D206" s="77">
        <v>40</v>
      </c>
      <c r="E206" s="77">
        <v>1</v>
      </c>
      <c r="F206" s="23" t="s">
        <v>608</v>
      </c>
      <c r="G206" s="23" t="s">
        <v>607</v>
      </c>
    </row>
    <row r="207" spans="1:7">
      <c r="A207" s="67" t="s">
        <v>589</v>
      </c>
      <c r="B207" s="77">
        <v>3</v>
      </c>
      <c r="C207" s="77" t="s">
        <v>588</v>
      </c>
      <c r="D207" s="77">
        <v>130</v>
      </c>
      <c r="E207" s="77">
        <v>1</v>
      </c>
      <c r="F207" s="23" t="s">
        <v>568</v>
      </c>
      <c r="G207" s="23" t="s">
        <v>567</v>
      </c>
    </row>
    <row r="208" spans="1:7">
      <c r="A208" s="67" t="s">
        <v>666</v>
      </c>
      <c r="B208" s="77">
        <v>2</v>
      </c>
      <c r="C208" s="77">
        <v>42426</v>
      </c>
      <c r="D208" s="77">
        <v>15</v>
      </c>
      <c r="E208" s="77">
        <v>2</v>
      </c>
      <c r="F208" s="23" t="s">
        <v>608</v>
      </c>
      <c r="G208" s="23" t="s">
        <v>607</v>
      </c>
    </row>
    <row r="209" spans="1:7">
      <c r="A209" s="67" t="s">
        <v>581</v>
      </c>
      <c r="B209" s="77">
        <v>2</v>
      </c>
      <c r="C209" s="77" t="s">
        <v>580</v>
      </c>
      <c r="D209" s="77">
        <v>120</v>
      </c>
      <c r="E209" s="77">
        <v>2</v>
      </c>
      <c r="F209" s="23" t="s">
        <v>568</v>
      </c>
      <c r="G209" s="23" t="s">
        <v>567</v>
      </c>
    </row>
    <row r="210" spans="1:7">
      <c r="A210" s="67" t="s">
        <v>426</v>
      </c>
      <c r="B210" s="77">
        <v>1</v>
      </c>
      <c r="C210" s="77" t="s">
        <v>425</v>
      </c>
      <c r="D210" s="77">
        <v>1360</v>
      </c>
      <c r="E210" s="77">
        <v>2</v>
      </c>
      <c r="F210" s="23" t="s">
        <v>49</v>
      </c>
      <c r="G210" s="23" t="s">
        <v>47</v>
      </c>
    </row>
    <row r="211" spans="1:7">
      <c r="A211" s="67" t="s">
        <v>426</v>
      </c>
      <c r="B211" s="77">
        <v>1</v>
      </c>
      <c r="C211" s="77" t="s">
        <v>427</v>
      </c>
      <c r="D211" s="77">
        <v>1760</v>
      </c>
      <c r="E211" s="77">
        <v>6</v>
      </c>
      <c r="F211" s="23" t="s">
        <v>49</v>
      </c>
      <c r="G211" s="23" t="s">
        <v>47</v>
      </c>
    </row>
    <row r="212" spans="1:7">
      <c r="A212" s="67" t="s">
        <v>426</v>
      </c>
      <c r="B212" s="77">
        <v>5</v>
      </c>
      <c r="C212" s="77">
        <v>42842</v>
      </c>
      <c r="D212" s="77">
        <v>500</v>
      </c>
      <c r="E212" s="77">
        <v>2</v>
      </c>
      <c r="F212" s="23" t="s">
        <v>608</v>
      </c>
      <c r="G212" s="23" t="s">
        <v>607</v>
      </c>
    </row>
    <row r="213" spans="1:7">
      <c r="A213" s="67" t="s">
        <v>426</v>
      </c>
      <c r="B213" s="77">
        <v>1</v>
      </c>
      <c r="C213" s="77" t="s">
        <v>684</v>
      </c>
      <c r="D213" s="77">
        <v>1645</v>
      </c>
      <c r="E213" s="77">
        <v>2</v>
      </c>
      <c r="F213" s="23" t="s">
        <v>608</v>
      </c>
      <c r="G213" s="23" t="s">
        <v>607</v>
      </c>
    </row>
    <row r="214" spans="1:7">
      <c r="A214" s="67" t="s">
        <v>416</v>
      </c>
      <c r="B214" s="77">
        <v>2</v>
      </c>
      <c r="C214" s="77" t="s">
        <v>414</v>
      </c>
      <c r="D214" s="77">
        <v>505</v>
      </c>
      <c r="E214" s="77">
        <v>2</v>
      </c>
      <c r="F214" s="23" t="s">
        <v>49</v>
      </c>
      <c r="G214" s="23" t="s">
        <v>47</v>
      </c>
    </row>
    <row r="215" spans="1:7">
      <c r="A215" s="67" t="s">
        <v>416</v>
      </c>
      <c r="B215" s="77">
        <v>1</v>
      </c>
      <c r="C215" s="77" t="s">
        <v>418</v>
      </c>
      <c r="D215" s="77">
        <v>2890</v>
      </c>
      <c r="E215" s="77">
        <v>2</v>
      </c>
      <c r="F215" s="23" t="s">
        <v>49</v>
      </c>
      <c r="G215" s="23" t="s">
        <v>47</v>
      </c>
    </row>
    <row r="216" spans="1:7">
      <c r="A216" s="67" t="s">
        <v>416</v>
      </c>
      <c r="B216" s="77">
        <v>2</v>
      </c>
      <c r="C216" s="77" t="s">
        <v>547</v>
      </c>
      <c r="D216" s="77">
        <v>1195</v>
      </c>
      <c r="E216" s="77">
        <v>1</v>
      </c>
      <c r="F216" s="23" t="s">
        <v>476</v>
      </c>
      <c r="G216" s="23" t="s">
        <v>475</v>
      </c>
    </row>
    <row r="217" spans="1:7">
      <c r="A217" s="67" t="s">
        <v>416</v>
      </c>
      <c r="B217" s="77">
        <v>3</v>
      </c>
      <c r="C217" s="77" t="s">
        <v>547</v>
      </c>
      <c r="D217" s="77">
        <v>1195</v>
      </c>
      <c r="E217" s="77">
        <v>1</v>
      </c>
      <c r="F217" s="23" t="s">
        <v>476</v>
      </c>
      <c r="G217" s="23" t="s">
        <v>475</v>
      </c>
    </row>
    <row r="218" spans="1:7">
      <c r="A218" s="67" t="s">
        <v>416</v>
      </c>
      <c r="B218" s="77">
        <v>2</v>
      </c>
      <c r="C218" s="77" t="s">
        <v>564</v>
      </c>
      <c r="D218" s="77">
        <v>500</v>
      </c>
      <c r="E218" s="77">
        <v>2</v>
      </c>
      <c r="F218" s="23" t="s">
        <v>476</v>
      </c>
      <c r="G218" s="23" t="s">
        <v>563</v>
      </c>
    </row>
    <row r="219" spans="1:7">
      <c r="A219" s="67" t="s">
        <v>416</v>
      </c>
      <c r="B219" s="77">
        <v>2</v>
      </c>
      <c r="C219" s="77" t="s">
        <v>564</v>
      </c>
      <c r="D219" s="77">
        <v>500</v>
      </c>
      <c r="E219" s="77">
        <v>2</v>
      </c>
      <c r="F219" s="23" t="s">
        <v>476</v>
      </c>
      <c r="G219" s="23" t="s">
        <v>603</v>
      </c>
    </row>
    <row r="220" spans="1:7">
      <c r="A220" s="67" t="s">
        <v>416</v>
      </c>
      <c r="B220" s="77">
        <v>2</v>
      </c>
      <c r="C220" s="77" t="s">
        <v>683</v>
      </c>
      <c r="D220" s="77">
        <v>500</v>
      </c>
      <c r="E220" s="77">
        <v>2</v>
      </c>
      <c r="F220" s="23" t="s">
        <v>608</v>
      </c>
      <c r="G220" s="23" t="s">
        <v>607</v>
      </c>
    </row>
    <row r="221" spans="1:7">
      <c r="A221" s="67" t="s">
        <v>346</v>
      </c>
      <c r="B221" s="77">
        <v>2</v>
      </c>
      <c r="C221" s="77" t="s">
        <v>345</v>
      </c>
      <c r="D221" s="77">
        <v>1800</v>
      </c>
      <c r="E221" s="77">
        <v>1</v>
      </c>
      <c r="F221" s="23" t="s">
        <v>49</v>
      </c>
      <c r="G221" s="23" t="s">
        <v>47</v>
      </c>
    </row>
    <row r="222" spans="1:7">
      <c r="A222" s="67" t="s">
        <v>346</v>
      </c>
      <c r="B222" s="77">
        <v>1</v>
      </c>
      <c r="C222" s="77" t="s">
        <v>345</v>
      </c>
      <c r="D222" s="77">
        <v>1800</v>
      </c>
      <c r="E222" s="77">
        <v>1</v>
      </c>
      <c r="F222" s="23" t="s">
        <v>49</v>
      </c>
      <c r="G222" s="23" t="s">
        <v>47</v>
      </c>
    </row>
    <row r="223" spans="1:7">
      <c r="A223" s="67" t="s">
        <v>346</v>
      </c>
      <c r="B223" s="77">
        <v>1</v>
      </c>
      <c r="C223" s="77" t="s">
        <v>518</v>
      </c>
      <c r="D223" s="77">
        <v>1300</v>
      </c>
      <c r="E223" s="77">
        <v>1</v>
      </c>
      <c r="F223" s="23" t="s">
        <v>476</v>
      </c>
      <c r="G223" s="23" t="s">
        <v>475</v>
      </c>
    </row>
    <row r="224" spans="1:7">
      <c r="A224" s="67" t="s">
        <v>346</v>
      </c>
      <c r="B224" s="77">
        <v>2</v>
      </c>
      <c r="C224" s="77" t="s">
        <v>518</v>
      </c>
      <c r="D224" s="77">
        <v>1300</v>
      </c>
      <c r="E224" s="77">
        <v>1</v>
      </c>
      <c r="F224" s="23" t="s">
        <v>476</v>
      </c>
      <c r="G224" s="23" t="s">
        <v>475</v>
      </c>
    </row>
    <row r="225" spans="1:7">
      <c r="A225" s="67" t="s">
        <v>346</v>
      </c>
      <c r="B225" s="77">
        <v>1</v>
      </c>
      <c r="C225" s="77" t="s">
        <v>547</v>
      </c>
      <c r="D225" s="77">
        <v>1335</v>
      </c>
      <c r="E225" s="77">
        <v>2</v>
      </c>
      <c r="F225" s="23" t="s">
        <v>476</v>
      </c>
      <c r="G225" s="23" t="s">
        <v>475</v>
      </c>
    </row>
    <row r="226" spans="1:7">
      <c r="A226" s="67" t="s">
        <v>346</v>
      </c>
      <c r="B226" s="77">
        <v>1</v>
      </c>
      <c r="C226" s="77" t="s">
        <v>518</v>
      </c>
      <c r="D226" s="77">
        <v>1300</v>
      </c>
      <c r="E226" s="77">
        <v>1</v>
      </c>
      <c r="F226" s="23" t="s">
        <v>476</v>
      </c>
      <c r="G226" s="23" t="s">
        <v>563</v>
      </c>
    </row>
    <row r="227" spans="1:7">
      <c r="A227" s="67" t="s">
        <v>346</v>
      </c>
      <c r="B227" s="77">
        <v>2</v>
      </c>
      <c r="C227" s="77" t="s">
        <v>518</v>
      </c>
      <c r="D227" s="77">
        <v>1300</v>
      </c>
      <c r="E227" s="77">
        <v>1</v>
      </c>
      <c r="F227" s="23" t="s">
        <v>476</v>
      </c>
      <c r="G227" s="23" t="s">
        <v>563</v>
      </c>
    </row>
    <row r="228" spans="1:7">
      <c r="A228" s="67" t="s">
        <v>346</v>
      </c>
      <c r="B228" s="77">
        <v>1</v>
      </c>
      <c r="C228" s="77" t="s">
        <v>518</v>
      </c>
      <c r="D228" s="77">
        <v>1300</v>
      </c>
      <c r="E228" s="77">
        <v>1</v>
      </c>
      <c r="F228" s="23" t="s">
        <v>568</v>
      </c>
      <c r="G228" s="23" t="s">
        <v>567</v>
      </c>
    </row>
    <row r="229" spans="1:7">
      <c r="A229" s="67" t="s">
        <v>346</v>
      </c>
      <c r="B229" s="77">
        <v>2</v>
      </c>
      <c r="C229" s="77" t="s">
        <v>518</v>
      </c>
      <c r="D229" s="77">
        <v>1300</v>
      </c>
      <c r="E229" s="77">
        <v>1</v>
      </c>
      <c r="F229" s="23" t="s">
        <v>568</v>
      </c>
      <c r="G229" s="23" t="s">
        <v>567</v>
      </c>
    </row>
    <row r="230" spans="1:7">
      <c r="A230" s="67" t="s">
        <v>346</v>
      </c>
      <c r="B230" s="77">
        <v>1</v>
      </c>
      <c r="C230" s="77" t="s">
        <v>518</v>
      </c>
      <c r="D230" s="77">
        <v>1300</v>
      </c>
      <c r="E230" s="77">
        <v>1</v>
      </c>
      <c r="F230" s="23" t="s">
        <v>476</v>
      </c>
      <c r="G230" s="23" t="s">
        <v>603</v>
      </c>
    </row>
    <row r="231" spans="1:7">
      <c r="A231" s="67" t="s">
        <v>346</v>
      </c>
      <c r="B231" s="77">
        <v>2</v>
      </c>
      <c r="C231" s="77" t="s">
        <v>518</v>
      </c>
      <c r="D231" s="77">
        <v>1300</v>
      </c>
      <c r="E231" s="77">
        <v>1</v>
      </c>
      <c r="F231" s="23" t="s">
        <v>476</v>
      </c>
      <c r="G231" s="23" t="s">
        <v>603</v>
      </c>
    </row>
    <row r="232" spans="1:7">
      <c r="A232" s="67" t="s">
        <v>350</v>
      </c>
      <c r="B232" s="77">
        <v>1</v>
      </c>
      <c r="C232" s="77" t="s">
        <v>349</v>
      </c>
      <c r="D232" s="77">
        <v>68</v>
      </c>
      <c r="E232" s="77">
        <v>1</v>
      </c>
      <c r="F232" s="23" t="s">
        <v>49</v>
      </c>
      <c r="G232" s="23" t="s">
        <v>47</v>
      </c>
    </row>
    <row r="233" spans="1:7">
      <c r="A233" s="67" t="s">
        <v>350</v>
      </c>
      <c r="B233" s="77">
        <v>1</v>
      </c>
      <c r="C233" s="77" t="s">
        <v>349</v>
      </c>
      <c r="D233" s="77">
        <v>68</v>
      </c>
      <c r="E233" s="77">
        <v>1</v>
      </c>
      <c r="F233" s="23" t="s">
        <v>49</v>
      </c>
      <c r="G233" s="23" t="s">
        <v>47</v>
      </c>
    </row>
    <row r="234" spans="1:7">
      <c r="A234" s="67" t="s">
        <v>350</v>
      </c>
      <c r="B234" s="77">
        <v>1</v>
      </c>
      <c r="C234" s="77" t="s">
        <v>349</v>
      </c>
      <c r="D234" s="77">
        <v>68</v>
      </c>
      <c r="E234" s="77">
        <v>1</v>
      </c>
      <c r="F234" s="23" t="s">
        <v>476</v>
      </c>
      <c r="G234" s="23" t="s">
        <v>475</v>
      </c>
    </row>
    <row r="235" spans="1:7">
      <c r="A235" s="67" t="s">
        <v>350</v>
      </c>
      <c r="B235" s="77">
        <v>1</v>
      </c>
      <c r="C235" s="77" t="s">
        <v>349</v>
      </c>
      <c r="D235" s="77">
        <v>68</v>
      </c>
      <c r="E235" s="77">
        <v>1</v>
      </c>
      <c r="F235" s="23" t="s">
        <v>476</v>
      </c>
      <c r="G235" s="23" t="s">
        <v>475</v>
      </c>
    </row>
    <row r="236" spans="1:7">
      <c r="A236" s="67" t="s">
        <v>350</v>
      </c>
      <c r="B236" s="77">
        <v>1</v>
      </c>
      <c r="C236" s="77" t="s">
        <v>349</v>
      </c>
      <c r="D236" s="77">
        <v>68</v>
      </c>
      <c r="E236" s="77">
        <v>1</v>
      </c>
      <c r="F236" s="23" t="s">
        <v>476</v>
      </c>
      <c r="G236" s="23" t="s">
        <v>563</v>
      </c>
    </row>
    <row r="237" spans="1:7">
      <c r="A237" s="67" t="s">
        <v>350</v>
      </c>
      <c r="B237" s="77">
        <v>1</v>
      </c>
      <c r="C237" s="77" t="s">
        <v>349</v>
      </c>
      <c r="D237" s="77">
        <v>68</v>
      </c>
      <c r="E237" s="77">
        <v>1</v>
      </c>
      <c r="F237" s="23" t="s">
        <v>476</v>
      </c>
      <c r="G237" s="23" t="s">
        <v>563</v>
      </c>
    </row>
    <row r="238" spans="1:7">
      <c r="A238" s="67" t="s">
        <v>350</v>
      </c>
      <c r="B238" s="77">
        <v>1</v>
      </c>
      <c r="C238" s="77" t="s">
        <v>349</v>
      </c>
      <c r="D238" s="77">
        <v>68</v>
      </c>
      <c r="E238" s="77">
        <v>1</v>
      </c>
      <c r="F238" s="23" t="s">
        <v>568</v>
      </c>
      <c r="G238" s="23" t="s">
        <v>567</v>
      </c>
    </row>
    <row r="239" spans="1:7">
      <c r="A239" s="67" t="s">
        <v>350</v>
      </c>
      <c r="B239" s="77">
        <v>1</v>
      </c>
      <c r="C239" s="77" t="s">
        <v>349</v>
      </c>
      <c r="D239" s="77">
        <v>68</v>
      </c>
      <c r="E239" s="77">
        <v>1</v>
      </c>
      <c r="F239" s="23" t="s">
        <v>568</v>
      </c>
      <c r="G239" s="23" t="s">
        <v>567</v>
      </c>
    </row>
    <row r="240" spans="1:7">
      <c r="A240" s="67" t="s">
        <v>350</v>
      </c>
      <c r="B240" s="77">
        <v>1</v>
      </c>
      <c r="C240" s="77" t="s">
        <v>349</v>
      </c>
      <c r="D240" s="77">
        <v>68</v>
      </c>
      <c r="E240" s="77">
        <v>1</v>
      </c>
      <c r="F240" s="23" t="s">
        <v>476</v>
      </c>
      <c r="G240" s="23" t="s">
        <v>603</v>
      </c>
    </row>
    <row r="241" spans="1:7">
      <c r="A241" s="67" t="s">
        <v>350</v>
      </c>
      <c r="B241" s="77">
        <v>1</v>
      </c>
      <c r="C241" s="77" t="s">
        <v>349</v>
      </c>
      <c r="D241" s="77">
        <v>68</v>
      </c>
      <c r="E241" s="77">
        <v>1</v>
      </c>
      <c r="F241" s="23" t="s">
        <v>476</v>
      </c>
      <c r="G241" s="23" t="s">
        <v>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2"/>
  <sheetViews>
    <sheetView workbookViewId="0">
      <pane ySplit="1" topLeftCell="A17" activePane="bottomLeft" state="frozen"/>
      <selection pane="bottomLeft" activeCell="A34" sqref="A34:O52"/>
    </sheetView>
  </sheetViews>
  <sheetFormatPr defaultRowHeight="14.4"/>
  <cols>
    <col min="1" max="9" width="10" customWidth="1"/>
    <col min="10" max="10" width="42" customWidth="1"/>
    <col min="11" max="11" width="12" customWidth="1"/>
    <col min="12" max="13" width="10" customWidth="1"/>
    <col min="14" max="14" width="38" customWidth="1"/>
    <col min="15" max="15" width="11" customWidth="1"/>
  </cols>
  <sheetData>
    <row r="1" spans="1:15">
      <c r="A1" s="22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740</v>
      </c>
      <c r="G1" s="22" t="s">
        <v>7</v>
      </c>
      <c r="H1" s="22" t="s">
        <v>741</v>
      </c>
      <c r="I1" s="22" t="s">
        <v>742</v>
      </c>
      <c r="J1" s="22" t="s">
        <v>9</v>
      </c>
      <c r="K1" s="22" t="s">
        <v>10</v>
      </c>
      <c r="L1" s="22" t="s">
        <v>20</v>
      </c>
      <c r="M1" s="22" t="s">
        <v>22</v>
      </c>
      <c r="N1" s="22" t="s">
        <v>23</v>
      </c>
      <c r="O1" s="22" t="s">
        <v>24</v>
      </c>
    </row>
    <row r="2" spans="1:15">
      <c r="A2" s="23" t="s">
        <v>90</v>
      </c>
      <c r="B2" s="23">
        <v>2</v>
      </c>
      <c r="C2" s="23">
        <v>3683600</v>
      </c>
      <c r="D2" s="23">
        <v>2</v>
      </c>
      <c r="E2" s="23">
        <v>0.03</v>
      </c>
      <c r="F2" s="23" t="s">
        <v>99</v>
      </c>
      <c r="G2" s="23">
        <v>100</v>
      </c>
      <c r="H2" s="23" t="s">
        <v>91</v>
      </c>
      <c r="I2" s="23">
        <v>150</v>
      </c>
      <c r="J2" s="23" t="s">
        <v>295</v>
      </c>
      <c r="K2" s="23" t="s">
        <v>293</v>
      </c>
      <c r="L2" s="23">
        <v>0</v>
      </c>
      <c r="M2" s="23" t="s">
        <v>296</v>
      </c>
      <c r="N2" s="23" t="s">
        <v>49</v>
      </c>
      <c r="O2" s="23" t="s">
        <v>47</v>
      </c>
    </row>
    <row r="3" spans="1:15">
      <c r="A3" s="23" t="s">
        <v>289</v>
      </c>
      <c r="B3" s="23">
        <v>1</v>
      </c>
      <c r="C3" s="23">
        <v>3683600</v>
      </c>
      <c r="D3" s="23">
        <v>1</v>
      </c>
      <c r="E3" s="23"/>
      <c r="F3" s="23" t="s">
        <v>99</v>
      </c>
      <c r="G3" s="23">
        <v>750</v>
      </c>
      <c r="H3" s="23" t="s">
        <v>91</v>
      </c>
      <c r="I3" s="23">
        <v>200</v>
      </c>
      <c r="J3" s="23" t="s">
        <v>295</v>
      </c>
      <c r="K3" s="23" t="s">
        <v>390</v>
      </c>
      <c r="L3" s="23">
        <v>0</v>
      </c>
      <c r="M3" s="23" t="s">
        <v>296</v>
      </c>
      <c r="N3" s="23" t="s">
        <v>49</v>
      </c>
      <c r="O3" s="23" t="s">
        <v>47</v>
      </c>
    </row>
    <row r="4" spans="1:15">
      <c r="A4" s="23" t="s">
        <v>90</v>
      </c>
      <c r="B4" s="23">
        <v>2</v>
      </c>
      <c r="C4" s="23">
        <v>3683600</v>
      </c>
      <c r="D4" s="23">
        <v>2</v>
      </c>
      <c r="E4" s="23">
        <v>0.03</v>
      </c>
      <c r="F4" s="23" t="s">
        <v>99</v>
      </c>
      <c r="G4" s="23">
        <v>100</v>
      </c>
      <c r="H4" s="23" t="s">
        <v>91</v>
      </c>
      <c r="I4" s="23">
        <v>150</v>
      </c>
      <c r="J4" s="23" t="s">
        <v>295</v>
      </c>
      <c r="K4" s="23" t="s">
        <v>293</v>
      </c>
      <c r="L4" s="23">
        <v>0</v>
      </c>
      <c r="M4" s="23" t="s">
        <v>296</v>
      </c>
      <c r="N4" s="23" t="s">
        <v>476</v>
      </c>
      <c r="O4" s="23" t="s">
        <v>475</v>
      </c>
    </row>
    <row r="5" spans="1:15">
      <c r="A5" s="23" t="s">
        <v>289</v>
      </c>
      <c r="B5" s="23">
        <v>1</v>
      </c>
      <c r="C5" s="23">
        <v>3683600</v>
      </c>
      <c r="D5" s="23">
        <v>1</v>
      </c>
      <c r="E5" s="23"/>
      <c r="F5" s="23" t="s">
        <v>99</v>
      </c>
      <c r="G5" s="23">
        <v>600</v>
      </c>
      <c r="H5" s="23" t="s">
        <v>91</v>
      </c>
      <c r="I5" s="23">
        <v>200</v>
      </c>
      <c r="J5" s="23" t="s">
        <v>295</v>
      </c>
      <c r="K5" s="23" t="s">
        <v>526</v>
      </c>
      <c r="L5" s="23">
        <v>0</v>
      </c>
      <c r="M5" s="23" t="s">
        <v>296</v>
      </c>
      <c r="N5" s="23" t="s">
        <v>476</v>
      </c>
      <c r="O5" s="23" t="s">
        <v>475</v>
      </c>
    </row>
    <row r="6" spans="1:15">
      <c r="A6" s="23" t="s">
        <v>90</v>
      </c>
      <c r="B6" s="23">
        <v>2</v>
      </c>
      <c r="C6" s="23">
        <v>3683600</v>
      </c>
      <c r="D6" s="23">
        <v>2</v>
      </c>
      <c r="E6" s="23">
        <v>0.03</v>
      </c>
      <c r="F6" s="23" t="s">
        <v>99</v>
      </c>
      <c r="G6" s="23">
        <v>100</v>
      </c>
      <c r="H6" s="23" t="s">
        <v>91</v>
      </c>
      <c r="I6" s="23">
        <v>150</v>
      </c>
      <c r="J6" s="23" t="s">
        <v>295</v>
      </c>
      <c r="K6" s="23" t="s">
        <v>293</v>
      </c>
      <c r="L6" s="23">
        <v>0</v>
      </c>
      <c r="M6" s="23" t="s">
        <v>296</v>
      </c>
      <c r="N6" s="23" t="s">
        <v>476</v>
      </c>
      <c r="O6" s="23" t="s">
        <v>563</v>
      </c>
    </row>
    <row r="7" spans="1:15">
      <c r="A7" s="23" t="s">
        <v>289</v>
      </c>
      <c r="B7" s="23">
        <v>1</v>
      </c>
      <c r="C7" s="23">
        <v>3683600</v>
      </c>
      <c r="D7" s="23">
        <v>1</v>
      </c>
      <c r="E7" s="23"/>
      <c r="F7" s="23" t="s">
        <v>99</v>
      </c>
      <c r="G7" s="23">
        <v>600</v>
      </c>
      <c r="H7" s="23" t="s">
        <v>91</v>
      </c>
      <c r="I7" s="23">
        <v>200</v>
      </c>
      <c r="J7" s="23" t="s">
        <v>295</v>
      </c>
      <c r="K7" s="23" t="s">
        <v>526</v>
      </c>
      <c r="L7" s="23">
        <v>0</v>
      </c>
      <c r="M7" s="23" t="s">
        <v>296</v>
      </c>
      <c r="N7" s="23" t="s">
        <v>476</v>
      </c>
      <c r="O7" s="23" t="s">
        <v>563</v>
      </c>
    </row>
    <row r="8" spans="1:15">
      <c r="A8" s="23" t="s">
        <v>90</v>
      </c>
      <c r="B8" s="23">
        <v>2</v>
      </c>
      <c r="C8" s="23">
        <v>3683600</v>
      </c>
      <c r="D8" s="23">
        <v>2</v>
      </c>
      <c r="E8" s="23">
        <v>0.03</v>
      </c>
      <c r="F8" s="23" t="s">
        <v>99</v>
      </c>
      <c r="G8" s="23">
        <v>100</v>
      </c>
      <c r="H8" s="23" t="s">
        <v>91</v>
      </c>
      <c r="I8" s="23">
        <v>150</v>
      </c>
      <c r="J8" s="23" t="s">
        <v>295</v>
      </c>
      <c r="K8" s="23" t="s">
        <v>293</v>
      </c>
      <c r="L8" s="23">
        <v>0</v>
      </c>
      <c r="M8" s="23" t="s">
        <v>296</v>
      </c>
      <c r="N8" s="23" t="s">
        <v>568</v>
      </c>
      <c r="O8" s="23" t="s">
        <v>567</v>
      </c>
    </row>
    <row r="9" spans="1:15">
      <c r="A9" s="23" t="s">
        <v>289</v>
      </c>
      <c r="B9" s="23">
        <v>1</v>
      </c>
      <c r="C9" s="23">
        <v>3683600</v>
      </c>
      <c r="D9" s="23">
        <v>1</v>
      </c>
      <c r="E9" s="23"/>
      <c r="F9" s="23" t="s">
        <v>99</v>
      </c>
      <c r="G9" s="23">
        <v>600</v>
      </c>
      <c r="H9" s="23" t="s">
        <v>91</v>
      </c>
      <c r="I9" s="23">
        <v>200</v>
      </c>
      <c r="J9" s="23" t="s">
        <v>295</v>
      </c>
      <c r="K9" s="23" t="s">
        <v>526</v>
      </c>
      <c r="L9" s="23">
        <v>0</v>
      </c>
      <c r="M9" s="23" t="s">
        <v>296</v>
      </c>
      <c r="N9" s="23" t="s">
        <v>568</v>
      </c>
      <c r="O9" s="23" t="s">
        <v>567</v>
      </c>
    </row>
    <row r="10" spans="1:15">
      <c r="A10" s="23" t="s">
        <v>90</v>
      </c>
      <c r="B10" s="23">
        <v>2</v>
      </c>
      <c r="C10" s="23">
        <v>3683600</v>
      </c>
      <c r="D10" s="23">
        <v>2</v>
      </c>
      <c r="E10" s="23">
        <v>0.03</v>
      </c>
      <c r="F10" s="23" t="s">
        <v>99</v>
      </c>
      <c r="G10" s="23">
        <v>100</v>
      </c>
      <c r="H10" s="23" t="s">
        <v>91</v>
      </c>
      <c r="I10" s="23">
        <v>150</v>
      </c>
      <c r="J10" s="23" t="s">
        <v>295</v>
      </c>
      <c r="K10" s="23" t="s">
        <v>293</v>
      </c>
      <c r="L10" s="23">
        <v>0</v>
      </c>
      <c r="M10" s="23" t="s">
        <v>296</v>
      </c>
      <c r="N10" s="23" t="s">
        <v>476</v>
      </c>
      <c r="O10" s="23" t="s">
        <v>603</v>
      </c>
    </row>
    <row r="11" spans="1:15">
      <c r="A11" s="23" t="s">
        <v>289</v>
      </c>
      <c r="B11" s="23">
        <v>1</v>
      </c>
      <c r="C11" s="23">
        <v>3683600</v>
      </c>
      <c r="D11" s="23">
        <v>1</v>
      </c>
      <c r="E11" s="23"/>
      <c r="F11" s="23" t="s">
        <v>99</v>
      </c>
      <c r="G11" s="23">
        <v>600</v>
      </c>
      <c r="H11" s="23" t="s">
        <v>91</v>
      </c>
      <c r="I11" s="23">
        <v>200</v>
      </c>
      <c r="J11" s="23" t="s">
        <v>295</v>
      </c>
      <c r="K11" s="23" t="s">
        <v>526</v>
      </c>
      <c r="L11" s="23">
        <v>0</v>
      </c>
      <c r="M11" s="23" t="s">
        <v>296</v>
      </c>
      <c r="N11" s="23" t="s">
        <v>476</v>
      </c>
      <c r="O11" s="23" t="s">
        <v>603</v>
      </c>
    </row>
    <row r="12" spans="1:15">
      <c r="A12" s="23" t="s">
        <v>289</v>
      </c>
      <c r="B12" s="23">
        <v>1</v>
      </c>
      <c r="C12" s="23">
        <v>2612800</v>
      </c>
      <c r="D12" s="23">
        <v>1</v>
      </c>
      <c r="E12" s="23"/>
      <c r="F12" s="23" t="s">
        <v>99</v>
      </c>
      <c r="G12" s="23">
        <v>600</v>
      </c>
      <c r="H12" s="23" t="s">
        <v>91</v>
      </c>
      <c r="I12" s="23">
        <v>200</v>
      </c>
      <c r="J12" s="23" t="s">
        <v>389</v>
      </c>
      <c r="K12" s="23" t="s">
        <v>388</v>
      </c>
      <c r="L12" s="23">
        <v>0</v>
      </c>
      <c r="M12" s="23" t="s">
        <v>296</v>
      </c>
      <c r="N12" s="23" t="s">
        <v>49</v>
      </c>
      <c r="O12" s="23" t="s">
        <v>47</v>
      </c>
    </row>
    <row r="13" spans="1:15">
      <c r="A13" s="23" t="s">
        <v>289</v>
      </c>
      <c r="B13" s="23">
        <v>1</v>
      </c>
      <c r="C13" s="23">
        <v>2612800</v>
      </c>
      <c r="D13" s="23">
        <v>1</v>
      </c>
      <c r="E13" s="23"/>
      <c r="F13" s="23" t="s">
        <v>99</v>
      </c>
      <c r="G13" s="23">
        <v>440</v>
      </c>
      <c r="H13" s="23" t="s">
        <v>91</v>
      </c>
      <c r="I13" s="23">
        <v>200</v>
      </c>
      <c r="J13" s="23" t="s">
        <v>389</v>
      </c>
      <c r="K13" s="23" t="s">
        <v>525</v>
      </c>
      <c r="L13" s="23">
        <v>0</v>
      </c>
      <c r="M13" s="23" t="s">
        <v>296</v>
      </c>
      <c r="N13" s="23" t="s">
        <v>476</v>
      </c>
      <c r="O13" s="23" t="s">
        <v>475</v>
      </c>
    </row>
    <row r="14" spans="1:15">
      <c r="A14" s="23" t="s">
        <v>289</v>
      </c>
      <c r="B14" s="23">
        <v>1</v>
      </c>
      <c r="C14" s="23">
        <v>2612800</v>
      </c>
      <c r="D14" s="23">
        <v>1</v>
      </c>
      <c r="E14" s="23"/>
      <c r="F14" s="23" t="s">
        <v>99</v>
      </c>
      <c r="G14" s="23">
        <v>440</v>
      </c>
      <c r="H14" s="23" t="s">
        <v>91</v>
      </c>
      <c r="I14" s="23">
        <v>200</v>
      </c>
      <c r="J14" s="23" t="s">
        <v>389</v>
      </c>
      <c r="K14" s="23" t="s">
        <v>525</v>
      </c>
      <c r="L14" s="23">
        <v>0</v>
      </c>
      <c r="M14" s="23" t="s">
        <v>296</v>
      </c>
      <c r="N14" s="23" t="s">
        <v>476</v>
      </c>
      <c r="O14" s="23" t="s">
        <v>563</v>
      </c>
    </row>
    <row r="15" spans="1:15">
      <c r="A15" s="23" t="s">
        <v>289</v>
      </c>
      <c r="B15" s="23">
        <v>1</v>
      </c>
      <c r="C15" s="23">
        <v>2612800</v>
      </c>
      <c r="D15" s="23">
        <v>1</v>
      </c>
      <c r="E15" s="23"/>
      <c r="F15" s="23" t="s">
        <v>99</v>
      </c>
      <c r="G15" s="23">
        <v>440</v>
      </c>
      <c r="H15" s="23" t="s">
        <v>91</v>
      </c>
      <c r="I15" s="23">
        <v>200</v>
      </c>
      <c r="J15" s="23" t="s">
        <v>389</v>
      </c>
      <c r="K15" s="23" t="s">
        <v>525</v>
      </c>
      <c r="L15" s="23">
        <v>0</v>
      </c>
      <c r="M15" s="23" t="s">
        <v>296</v>
      </c>
      <c r="N15" s="23" t="s">
        <v>568</v>
      </c>
      <c r="O15" s="23" t="s">
        <v>567</v>
      </c>
    </row>
    <row r="16" spans="1:15">
      <c r="A16" s="23" t="s">
        <v>289</v>
      </c>
      <c r="B16" s="23">
        <v>1</v>
      </c>
      <c r="C16" s="23">
        <v>2612800</v>
      </c>
      <c r="D16" s="23">
        <v>1</v>
      </c>
      <c r="E16" s="23"/>
      <c r="F16" s="23" t="s">
        <v>99</v>
      </c>
      <c r="G16" s="23">
        <v>440</v>
      </c>
      <c r="H16" s="23" t="s">
        <v>91</v>
      </c>
      <c r="I16" s="23">
        <v>200</v>
      </c>
      <c r="J16" s="23" t="s">
        <v>389</v>
      </c>
      <c r="K16" s="23" t="s">
        <v>525</v>
      </c>
      <c r="L16" s="23">
        <v>0</v>
      </c>
      <c r="M16" s="23" t="s">
        <v>296</v>
      </c>
      <c r="N16" s="23" t="s">
        <v>476</v>
      </c>
      <c r="O16" s="23" t="s">
        <v>603</v>
      </c>
    </row>
    <row r="17" spans="1:15">
      <c r="A17" s="23" t="s">
        <v>90</v>
      </c>
      <c r="B17" s="23">
        <v>1</v>
      </c>
      <c r="C17" s="23">
        <v>3667600</v>
      </c>
      <c r="D17" s="23">
        <v>1</v>
      </c>
      <c r="E17" s="23">
        <v>0.19800000000000001</v>
      </c>
      <c r="F17" s="23" t="s">
        <v>99</v>
      </c>
      <c r="G17" s="23">
        <v>779</v>
      </c>
      <c r="H17" s="23" t="s">
        <v>91</v>
      </c>
      <c r="I17" s="23">
        <v>254</v>
      </c>
      <c r="J17" s="23" t="s">
        <v>438</v>
      </c>
      <c r="K17" s="23" t="s">
        <v>437</v>
      </c>
      <c r="L17" s="23">
        <v>0</v>
      </c>
      <c r="M17" s="23" t="s">
        <v>296</v>
      </c>
      <c r="N17" s="23" t="s">
        <v>49</v>
      </c>
      <c r="O17" s="23" t="s">
        <v>47</v>
      </c>
    </row>
    <row r="18" spans="1:15">
      <c r="A18" s="23" t="s">
        <v>90</v>
      </c>
      <c r="B18" s="23">
        <v>1</v>
      </c>
      <c r="C18" s="23">
        <v>3784800</v>
      </c>
      <c r="D18" s="23">
        <v>1</v>
      </c>
      <c r="E18" s="23">
        <v>0.442</v>
      </c>
      <c r="F18" s="23" t="s">
        <v>99</v>
      </c>
      <c r="G18" s="23">
        <v>650</v>
      </c>
      <c r="H18" s="23" t="s">
        <v>91</v>
      </c>
      <c r="I18" s="23">
        <v>680</v>
      </c>
      <c r="J18" s="23" t="s">
        <v>305</v>
      </c>
      <c r="K18" s="23" t="s">
        <v>304</v>
      </c>
      <c r="L18" s="23">
        <v>0</v>
      </c>
      <c r="M18" s="23" t="s">
        <v>296</v>
      </c>
      <c r="N18" s="23" t="s">
        <v>49</v>
      </c>
      <c r="O18" s="23" t="s">
        <v>47</v>
      </c>
    </row>
    <row r="19" spans="1:15">
      <c r="A19" s="23" t="s">
        <v>90</v>
      </c>
      <c r="B19" s="23">
        <v>1</v>
      </c>
      <c r="C19" s="23" t="s">
        <v>360</v>
      </c>
      <c r="D19" s="23">
        <v>0.74099999999999999</v>
      </c>
      <c r="E19" s="23"/>
      <c r="F19" s="23" t="s">
        <v>315</v>
      </c>
      <c r="G19" s="23"/>
      <c r="H19" s="23"/>
      <c r="I19" s="23"/>
      <c r="J19" s="23" t="s">
        <v>361</v>
      </c>
      <c r="K19" s="23" t="s">
        <v>359</v>
      </c>
      <c r="L19" s="23">
        <v>0.55000000000000004</v>
      </c>
      <c r="M19" s="23" t="s">
        <v>296</v>
      </c>
      <c r="N19" s="23" t="s">
        <v>49</v>
      </c>
      <c r="O19" s="23" t="s">
        <v>47</v>
      </c>
    </row>
    <row r="20" spans="1:15">
      <c r="A20" s="23" t="s">
        <v>90</v>
      </c>
      <c r="B20" s="23">
        <v>1</v>
      </c>
      <c r="C20" s="23" t="s">
        <v>360</v>
      </c>
      <c r="D20" s="23">
        <v>0.56100000000000005</v>
      </c>
      <c r="E20" s="23"/>
      <c r="F20" s="23" t="s">
        <v>315</v>
      </c>
      <c r="G20" s="23"/>
      <c r="H20" s="23"/>
      <c r="I20" s="23"/>
      <c r="J20" s="23" t="s">
        <v>361</v>
      </c>
      <c r="K20" s="23" t="s">
        <v>521</v>
      </c>
      <c r="L20" s="23">
        <v>0.55000000000000004</v>
      </c>
      <c r="M20" s="23" t="s">
        <v>296</v>
      </c>
      <c r="N20" s="23" t="s">
        <v>476</v>
      </c>
      <c r="O20" s="23" t="s">
        <v>475</v>
      </c>
    </row>
    <row r="21" spans="1:15">
      <c r="A21" s="23" t="s">
        <v>90</v>
      </c>
      <c r="B21" s="23">
        <v>1</v>
      </c>
      <c r="C21" s="23" t="s">
        <v>360</v>
      </c>
      <c r="D21" s="23">
        <v>0.56100000000000005</v>
      </c>
      <c r="E21" s="23"/>
      <c r="F21" s="23" t="s">
        <v>315</v>
      </c>
      <c r="G21" s="23"/>
      <c r="H21" s="23"/>
      <c r="I21" s="23"/>
      <c r="J21" s="23" t="s">
        <v>361</v>
      </c>
      <c r="K21" s="23" t="s">
        <v>521</v>
      </c>
      <c r="L21" s="23">
        <v>0.55000000000000004</v>
      </c>
      <c r="M21" s="23" t="s">
        <v>296</v>
      </c>
      <c r="N21" s="23" t="s">
        <v>476</v>
      </c>
      <c r="O21" s="23" t="s">
        <v>563</v>
      </c>
    </row>
    <row r="22" spans="1:15">
      <c r="A22" s="23" t="s">
        <v>90</v>
      </c>
      <c r="B22" s="23">
        <v>1</v>
      </c>
      <c r="C22" s="23" t="s">
        <v>360</v>
      </c>
      <c r="D22" s="23">
        <v>0.56100000000000005</v>
      </c>
      <c r="E22" s="23"/>
      <c r="F22" s="23" t="s">
        <v>315</v>
      </c>
      <c r="G22" s="23"/>
      <c r="H22" s="23"/>
      <c r="I22" s="23"/>
      <c r="J22" s="23" t="s">
        <v>361</v>
      </c>
      <c r="K22" s="23" t="s">
        <v>521</v>
      </c>
      <c r="L22" s="23">
        <v>0.55000000000000004</v>
      </c>
      <c r="M22" s="23" t="s">
        <v>296</v>
      </c>
      <c r="N22" s="23" t="s">
        <v>568</v>
      </c>
      <c r="O22" s="23" t="s">
        <v>567</v>
      </c>
    </row>
    <row r="23" spans="1:15">
      <c r="A23" s="23" t="s">
        <v>90</v>
      </c>
      <c r="B23" s="23">
        <v>1</v>
      </c>
      <c r="C23" s="23" t="s">
        <v>360</v>
      </c>
      <c r="D23" s="23">
        <v>0.56100000000000005</v>
      </c>
      <c r="E23" s="23"/>
      <c r="F23" s="23" t="s">
        <v>315</v>
      </c>
      <c r="G23" s="23"/>
      <c r="H23" s="23"/>
      <c r="I23" s="23"/>
      <c r="J23" s="23" t="s">
        <v>361</v>
      </c>
      <c r="K23" s="23" t="s">
        <v>521</v>
      </c>
      <c r="L23" s="23">
        <v>0.55000000000000004</v>
      </c>
      <c r="M23" s="23" t="s">
        <v>296</v>
      </c>
      <c r="N23" s="23" t="s">
        <v>476</v>
      </c>
      <c r="O23" s="23" t="s">
        <v>603</v>
      </c>
    </row>
    <row r="24" spans="1:15">
      <c r="A24" s="23" t="s">
        <v>59</v>
      </c>
      <c r="B24" s="23">
        <v>16</v>
      </c>
      <c r="C24" s="23" t="s">
        <v>460</v>
      </c>
      <c r="D24" s="23">
        <v>16</v>
      </c>
      <c r="E24" s="23"/>
      <c r="F24" s="23" t="s">
        <v>315</v>
      </c>
      <c r="G24" s="23"/>
      <c r="H24" s="23"/>
      <c r="I24" s="23"/>
      <c r="J24" s="23" t="s">
        <v>461</v>
      </c>
      <c r="K24" s="23">
        <v>114879</v>
      </c>
      <c r="L24" s="23">
        <v>1.1000000000000001</v>
      </c>
      <c r="M24" s="23" t="s">
        <v>296</v>
      </c>
      <c r="N24" s="23" t="s">
        <v>49</v>
      </c>
      <c r="O24" s="23" t="s">
        <v>47</v>
      </c>
    </row>
    <row r="25" spans="1:15">
      <c r="A25" s="23" t="s">
        <v>59</v>
      </c>
      <c r="B25" s="23">
        <v>17</v>
      </c>
      <c r="C25" s="23" t="s">
        <v>460</v>
      </c>
      <c r="D25" s="23">
        <v>7.5</v>
      </c>
      <c r="E25" s="23"/>
      <c r="F25" s="23" t="s">
        <v>315</v>
      </c>
      <c r="G25" s="23"/>
      <c r="H25" s="23"/>
      <c r="I25" s="23"/>
      <c r="J25" s="23" t="s">
        <v>461</v>
      </c>
      <c r="K25" s="23">
        <v>114879</v>
      </c>
      <c r="L25" s="23">
        <v>1.1000000000000001</v>
      </c>
      <c r="M25" s="23" t="s">
        <v>296</v>
      </c>
      <c r="N25" s="23" t="s">
        <v>476</v>
      </c>
      <c r="O25" s="23" t="s">
        <v>475</v>
      </c>
    </row>
    <row r="26" spans="1:15">
      <c r="A26" s="23" t="s">
        <v>59</v>
      </c>
      <c r="B26" s="23">
        <v>17</v>
      </c>
      <c r="C26" s="23" t="s">
        <v>460</v>
      </c>
      <c r="D26" s="23">
        <v>7.5</v>
      </c>
      <c r="E26" s="23"/>
      <c r="F26" s="23" t="s">
        <v>315</v>
      </c>
      <c r="G26" s="23"/>
      <c r="H26" s="23"/>
      <c r="I26" s="23"/>
      <c r="J26" s="23" t="s">
        <v>461</v>
      </c>
      <c r="K26" s="23">
        <v>114879</v>
      </c>
      <c r="L26" s="23">
        <v>1.1000000000000001</v>
      </c>
      <c r="M26" s="23" t="s">
        <v>296</v>
      </c>
      <c r="N26" s="23" t="s">
        <v>476</v>
      </c>
      <c r="O26" s="23" t="s">
        <v>563</v>
      </c>
    </row>
    <row r="27" spans="1:15">
      <c r="A27" s="23" t="s">
        <v>59</v>
      </c>
      <c r="B27" s="23">
        <v>16</v>
      </c>
      <c r="C27" s="23" t="s">
        <v>460</v>
      </c>
      <c r="D27" s="23">
        <v>7.5</v>
      </c>
      <c r="E27" s="23"/>
      <c r="F27" s="23" t="s">
        <v>315</v>
      </c>
      <c r="G27" s="23"/>
      <c r="H27" s="23"/>
      <c r="I27" s="23"/>
      <c r="J27" s="23" t="s">
        <v>461</v>
      </c>
      <c r="K27" s="23" t="s">
        <v>599</v>
      </c>
      <c r="L27" s="23">
        <v>1.1000000000000001</v>
      </c>
      <c r="M27" s="23" t="s">
        <v>296</v>
      </c>
      <c r="N27" s="23" t="s">
        <v>568</v>
      </c>
      <c r="O27" s="23" t="s">
        <v>567</v>
      </c>
    </row>
    <row r="28" spans="1:15">
      <c r="A28" s="23" t="s">
        <v>59</v>
      </c>
      <c r="B28" s="23">
        <v>17</v>
      </c>
      <c r="C28" s="23" t="s">
        <v>460</v>
      </c>
      <c r="D28" s="23">
        <v>7.5</v>
      </c>
      <c r="E28" s="23"/>
      <c r="F28" s="23" t="s">
        <v>315</v>
      </c>
      <c r="G28" s="23"/>
      <c r="H28" s="23"/>
      <c r="I28" s="23"/>
      <c r="J28" s="23" t="s">
        <v>461</v>
      </c>
      <c r="K28" s="23">
        <v>114879</v>
      </c>
      <c r="L28" s="23">
        <v>1.1000000000000001</v>
      </c>
      <c r="M28" s="23" t="s">
        <v>296</v>
      </c>
      <c r="N28" s="23" t="s">
        <v>476</v>
      </c>
      <c r="O28" s="23" t="s">
        <v>603</v>
      </c>
    </row>
    <row r="29" spans="1:15">
      <c r="A29" s="23" t="s">
        <v>90</v>
      </c>
      <c r="B29" s="23">
        <v>1</v>
      </c>
      <c r="C29" s="23" t="s">
        <v>386</v>
      </c>
      <c r="D29" s="23">
        <v>2</v>
      </c>
      <c r="E29" s="23">
        <v>4</v>
      </c>
      <c r="F29" s="23" t="s">
        <v>315</v>
      </c>
      <c r="G29" s="23">
        <v>2000</v>
      </c>
      <c r="H29" s="23" t="s">
        <v>91</v>
      </c>
      <c r="I29" s="23">
        <v>0</v>
      </c>
      <c r="J29" s="23" t="s">
        <v>387</v>
      </c>
      <c r="K29" s="23" t="s">
        <v>385</v>
      </c>
      <c r="L29" s="23">
        <v>2.1800000000000002</v>
      </c>
      <c r="M29" s="23" t="s">
        <v>296</v>
      </c>
      <c r="N29" s="23" t="s">
        <v>49</v>
      </c>
      <c r="O29" s="23" t="s">
        <v>47</v>
      </c>
    </row>
    <row r="30" spans="1:15">
      <c r="A30" s="23" t="s">
        <v>90</v>
      </c>
      <c r="B30" s="23">
        <v>1</v>
      </c>
      <c r="C30" s="23" t="s">
        <v>386</v>
      </c>
      <c r="D30" s="23">
        <v>2</v>
      </c>
      <c r="E30" s="23">
        <v>3</v>
      </c>
      <c r="F30" s="23" t="s">
        <v>315</v>
      </c>
      <c r="G30" s="23">
        <v>1500</v>
      </c>
      <c r="H30" s="23" t="s">
        <v>91</v>
      </c>
      <c r="I30" s="23">
        <v>0</v>
      </c>
      <c r="J30" s="23" t="s">
        <v>387</v>
      </c>
      <c r="K30" s="23" t="s">
        <v>524</v>
      </c>
      <c r="L30" s="23">
        <v>2.1800000000000002</v>
      </c>
      <c r="M30" s="23" t="s">
        <v>296</v>
      </c>
      <c r="N30" s="23" t="s">
        <v>476</v>
      </c>
      <c r="O30" s="23" t="s">
        <v>475</v>
      </c>
    </row>
    <row r="31" spans="1:15">
      <c r="A31" s="23" t="s">
        <v>90</v>
      </c>
      <c r="B31" s="23">
        <v>1</v>
      </c>
      <c r="C31" s="23" t="s">
        <v>386</v>
      </c>
      <c r="D31" s="23">
        <v>2</v>
      </c>
      <c r="E31" s="23">
        <v>3</v>
      </c>
      <c r="F31" s="23" t="s">
        <v>315</v>
      </c>
      <c r="G31" s="23">
        <v>1500</v>
      </c>
      <c r="H31" s="23" t="s">
        <v>91</v>
      </c>
      <c r="I31" s="23">
        <v>0</v>
      </c>
      <c r="J31" s="23" t="s">
        <v>387</v>
      </c>
      <c r="K31" s="23" t="s">
        <v>524</v>
      </c>
      <c r="L31" s="23">
        <v>2.1800000000000002</v>
      </c>
      <c r="M31" s="23" t="s">
        <v>296</v>
      </c>
      <c r="N31" s="23" t="s">
        <v>476</v>
      </c>
      <c r="O31" s="23" t="s">
        <v>563</v>
      </c>
    </row>
    <row r="32" spans="1:15">
      <c r="A32" s="23" t="s">
        <v>90</v>
      </c>
      <c r="B32" s="23">
        <v>1</v>
      </c>
      <c r="C32" s="23" t="s">
        <v>386</v>
      </c>
      <c r="D32" s="23">
        <v>2</v>
      </c>
      <c r="E32" s="23">
        <v>3</v>
      </c>
      <c r="F32" s="23" t="s">
        <v>315</v>
      </c>
      <c r="G32" s="23">
        <v>1500</v>
      </c>
      <c r="H32" s="23" t="s">
        <v>91</v>
      </c>
      <c r="I32" s="23">
        <v>0</v>
      </c>
      <c r="J32" s="23" t="s">
        <v>387</v>
      </c>
      <c r="K32" s="23" t="s">
        <v>524</v>
      </c>
      <c r="L32" s="23">
        <v>2.1800000000000002</v>
      </c>
      <c r="M32" s="23" t="s">
        <v>296</v>
      </c>
      <c r="N32" s="23" t="s">
        <v>568</v>
      </c>
      <c r="O32" s="23" t="s">
        <v>567</v>
      </c>
    </row>
    <row r="33" spans="1:15">
      <c r="A33" s="23" t="s">
        <v>90</v>
      </c>
      <c r="B33" s="23">
        <v>1</v>
      </c>
      <c r="C33" s="23" t="s">
        <v>386</v>
      </c>
      <c r="D33" s="23">
        <v>2</v>
      </c>
      <c r="E33" s="23">
        <v>3</v>
      </c>
      <c r="F33" s="23" t="s">
        <v>315</v>
      </c>
      <c r="G33" s="23">
        <v>1500</v>
      </c>
      <c r="H33" s="23" t="s">
        <v>91</v>
      </c>
      <c r="I33" s="23">
        <v>0</v>
      </c>
      <c r="J33" s="23" t="s">
        <v>387</v>
      </c>
      <c r="K33" s="23" t="s">
        <v>524</v>
      </c>
      <c r="L33" s="23">
        <v>2.1800000000000002</v>
      </c>
      <c r="M33" s="23" t="s">
        <v>296</v>
      </c>
      <c r="N33" s="23" t="s">
        <v>476</v>
      </c>
      <c r="O33" s="23" t="s">
        <v>603</v>
      </c>
    </row>
    <row r="34" spans="1:15">
      <c r="A34" s="23" t="s">
        <v>289</v>
      </c>
      <c r="B34" s="23">
        <v>8</v>
      </c>
      <c r="C34" s="23">
        <v>3683600</v>
      </c>
      <c r="D34" s="23">
        <v>1</v>
      </c>
      <c r="E34" s="23">
        <v>0.12</v>
      </c>
      <c r="F34" s="23" t="s">
        <v>99</v>
      </c>
      <c r="G34" s="23">
        <v>600</v>
      </c>
      <c r="H34" s="23" t="s">
        <v>91</v>
      </c>
      <c r="I34" s="23">
        <v>200</v>
      </c>
      <c r="J34" s="23" t="s">
        <v>295</v>
      </c>
      <c r="K34" s="23">
        <v>41619</v>
      </c>
      <c r="L34" s="23">
        <v>0</v>
      </c>
      <c r="M34" s="23" t="s">
        <v>296</v>
      </c>
      <c r="N34" s="23" t="s">
        <v>608</v>
      </c>
      <c r="O34" s="23" t="s">
        <v>607</v>
      </c>
    </row>
    <row r="35" spans="1:15">
      <c r="A35" s="23" t="s">
        <v>289</v>
      </c>
      <c r="B35" s="23">
        <v>7</v>
      </c>
      <c r="C35" s="23">
        <v>2612800</v>
      </c>
      <c r="D35" s="23">
        <v>1</v>
      </c>
      <c r="E35" s="23">
        <v>7.4999999999999997E-2</v>
      </c>
      <c r="F35" s="23" t="s">
        <v>99</v>
      </c>
      <c r="G35" s="23">
        <v>440</v>
      </c>
      <c r="H35" s="23" t="s">
        <v>91</v>
      </c>
      <c r="I35" s="23">
        <v>170</v>
      </c>
      <c r="J35" s="23" t="s">
        <v>673</v>
      </c>
      <c r="K35" s="23">
        <v>41619</v>
      </c>
      <c r="L35" s="23">
        <v>0</v>
      </c>
      <c r="M35" s="23" t="s">
        <v>296</v>
      </c>
      <c r="N35" s="23" t="s">
        <v>608</v>
      </c>
      <c r="O35" s="23" t="s">
        <v>607</v>
      </c>
    </row>
    <row r="36" spans="1:15">
      <c r="A36" s="23" t="s">
        <v>90</v>
      </c>
      <c r="B36" s="23">
        <v>1</v>
      </c>
      <c r="C36" s="23">
        <v>3784800</v>
      </c>
      <c r="D36" s="23">
        <v>1</v>
      </c>
      <c r="E36" s="23">
        <v>0.33200000000000002</v>
      </c>
      <c r="F36" s="23" t="s">
        <v>99</v>
      </c>
      <c r="G36" s="23">
        <v>475</v>
      </c>
      <c r="H36" s="23" t="s">
        <v>91</v>
      </c>
      <c r="I36" s="23">
        <v>700</v>
      </c>
      <c r="J36" s="23" t="s">
        <v>305</v>
      </c>
      <c r="K36" s="23" t="s">
        <v>633</v>
      </c>
      <c r="L36" s="23">
        <v>0</v>
      </c>
      <c r="M36" s="23" t="s">
        <v>296</v>
      </c>
      <c r="N36" s="23" t="s">
        <v>608</v>
      </c>
      <c r="O36" s="23" t="s">
        <v>607</v>
      </c>
    </row>
    <row r="37" spans="1:15">
      <c r="A37" s="23" t="s">
        <v>289</v>
      </c>
      <c r="B37" s="23">
        <v>2</v>
      </c>
      <c r="C37" s="23">
        <v>3784800</v>
      </c>
      <c r="D37" s="23">
        <v>1</v>
      </c>
      <c r="E37" s="23">
        <v>0.14399999999999999</v>
      </c>
      <c r="F37" s="23" t="s">
        <v>99</v>
      </c>
      <c r="G37" s="23">
        <v>577</v>
      </c>
      <c r="H37" s="23" t="s">
        <v>91</v>
      </c>
      <c r="I37" s="23">
        <v>250</v>
      </c>
      <c r="J37" s="23" t="s">
        <v>305</v>
      </c>
      <c r="K37" s="23" t="s">
        <v>687</v>
      </c>
      <c r="L37" s="23">
        <v>0</v>
      </c>
      <c r="M37" s="23" t="s">
        <v>296</v>
      </c>
      <c r="N37" s="23" t="s">
        <v>608</v>
      </c>
      <c r="O37" s="23" t="s">
        <v>607</v>
      </c>
    </row>
    <row r="38" spans="1:15">
      <c r="A38" s="23" t="s">
        <v>289</v>
      </c>
      <c r="B38" s="23">
        <v>2</v>
      </c>
      <c r="C38" s="23">
        <v>3784800</v>
      </c>
      <c r="D38" s="23">
        <v>1</v>
      </c>
      <c r="E38" s="23">
        <v>9.8000000000000004E-2</v>
      </c>
      <c r="F38" s="23" t="s">
        <v>99</v>
      </c>
      <c r="G38" s="23">
        <v>348</v>
      </c>
      <c r="H38" s="23" t="s">
        <v>91</v>
      </c>
      <c r="I38" s="23">
        <v>280</v>
      </c>
      <c r="J38" s="23" t="s">
        <v>305</v>
      </c>
      <c r="K38" s="23" t="s">
        <v>688</v>
      </c>
      <c r="L38" s="23">
        <v>0</v>
      </c>
      <c r="M38" s="23" t="s">
        <v>296</v>
      </c>
      <c r="N38" s="23" t="s">
        <v>608</v>
      </c>
      <c r="O38" s="23" t="s">
        <v>607</v>
      </c>
    </row>
    <row r="39" spans="1:15">
      <c r="A39" s="23" t="s">
        <v>289</v>
      </c>
      <c r="B39" s="23">
        <v>2</v>
      </c>
      <c r="C39" s="23">
        <v>3784800</v>
      </c>
      <c r="D39" s="23">
        <v>1</v>
      </c>
      <c r="E39" s="23">
        <v>0.17199999999999999</v>
      </c>
      <c r="F39" s="23" t="s">
        <v>99</v>
      </c>
      <c r="G39" s="23">
        <v>576</v>
      </c>
      <c r="H39" s="23" t="s">
        <v>91</v>
      </c>
      <c r="I39" s="23">
        <v>300</v>
      </c>
      <c r="J39" s="23" t="s">
        <v>305</v>
      </c>
      <c r="K39" s="23" t="s">
        <v>689</v>
      </c>
      <c r="L39" s="23">
        <v>0</v>
      </c>
      <c r="M39" s="23" t="s">
        <v>296</v>
      </c>
      <c r="N39" s="23" t="s">
        <v>608</v>
      </c>
      <c r="O39" s="23" t="s">
        <v>607</v>
      </c>
    </row>
    <row r="40" spans="1:15">
      <c r="A40" s="23" t="s">
        <v>289</v>
      </c>
      <c r="B40" s="23">
        <v>2</v>
      </c>
      <c r="C40" s="23">
        <v>3784800</v>
      </c>
      <c r="D40" s="23">
        <v>1</v>
      </c>
      <c r="E40" s="23">
        <v>0.10299999999999999</v>
      </c>
      <c r="F40" s="23" t="s">
        <v>99</v>
      </c>
      <c r="G40" s="23">
        <v>339</v>
      </c>
      <c r="H40" s="23" t="s">
        <v>91</v>
      </c>
      <c r="I40" s="23">
        <v>305</v>
      </c>
      <c r="J40" s="23" t="s">
        <v>305</v>
      </c>
      <c r="K40" s="23" t="s">
        <v>690</v>
      </c>
      <c r="L40" s="23">
        <v>0</v>
      </c>
      <c r="M40" s="23" t="s">
        <v>296</v>
      </c>
      <c r="N40" s="23" t="s">
        <v>608</v>
      </c>
      <c r="O40" s="23" t="s">
        <v>607</v>
      </c>
    </row>
    <row r="41" spans="1:15">
      <c r="A41" s="23" t="s">
        <v>289</v>
      </c>
      <c r="B41" s="23">
        <v>2</v>
      </c>
      <c r="C41" s="23">
        <v>3784800</v>
      </c>
      <c r="D41" s="23">
        <v>1</v>
      </c>
      <c r="E41" s="23">
        <v>0.29199999999999998</v>
      </c>
      <c r="F41" s="23" t="s">
        <v>99</v>
      </c>
      <c r="G41" s="23">
        <v>556</v>
      </c>
      <c r="H41" s="23" t="s">
        <v>91</v>
      </c>
      <c r="I41" s="23">
        <v>525</v>
      </c>
      <c r="J41" s="23" t="s">
        <v>305</v>
      </c>
      <c r="K41" s="23" t="s">
        <v>691</v>
      </c>
      <c r="L41" s="23">
        <v>0</v>
      </c>
      <c r="M41" s="23" t="s">
        <v>296</v>
      </c>
      <c r="N41" s="23" t="s">
        <v>608</v>
      </c>
      <c r="O41" s="23" t="s">
        <v>607</v>
      </c>
    </row>
    <row r="42" spans="1:15">
      <c r="A42" s="23" t="s">
        <v>289</v>
      </c>
      <c r="B42" s="23">
        <v>2</v>
      </c>
      <c r="C42" s="23">
        <v>3784800</v>
      </c>
      <c r="D42" s="23">
        <v>1</v>
      </c>
      <c r="E42" s="23">
        <v>0.29199999999999998</v>
      </c>
      <c r="F42" s="23" t="s">
        <v>99</v>
      </c>
      <c r="G42" s="23">
        <v>556</v>
      </c>
      <c r="H42" s="23" t="s">
        <v>91</v>
      </c>
      <c r="I42" s="23">
        <v>525</v>
      </c>
      <c r="J42" s="23" t="s">
        <v>305</v>
      </c>
      <c r="K42" s="23" t="s">
        <v>692</v>
      </c>
      <c r="L42" s="23">
        <v>0</v>
      </c>
      <c r="M42" s="23" t="s">
        <v>296</v>
      </c>
      <c r="N42" s="23" t="s">
        <v>608</v>
      </c>
      <c r="O42" s="23" t="s">
        <v>607</v>
      </c>
    </row>
    <row r="43" spans="1:15">
      <c r="A43" s="23" t="s">
        <v>289</v>
      </c>
      <c r="B43" s="23">
        <v>2</v>
      </c>
      <c r="C43" s="23">
        <v>3784800</v>
      </c>
      <c r="D43" s="23">
        <v>1</v>
      </c>
      <c r="E43" s="23">
        <v>0.20599999999999999</v>
      </c>
      <c r="F43" s="23" t="s">
        <v>99</v>
      </c>
      <c r="G43" s="23">
        <v>392</v>
      </c>
      <c r="H43" s="23" t="s">
        <v>91</v>
      </c>
      <c r="I43" s="23">
        <v>525</v>
      </c>
      <c r="J43" s="23" t="s">
        <v>305</v>
      </c>
      <c r="K43" s="23" t="s">
        <v>693</v>
      </c>
      <c r="L43" s="23">
        <v>0</v>
      </c>
      <c r="M43" s="23" t="s">
        <v>296</v>
      </c>
      <c r="N43" s="23" t="s">
        <v>608</v>
      </c>
      <c r="O43" s="23" t="s">
        <v>607</v>
      </c>
    </row>
    <row r="44" spans="1:15">
      <c r="A44" s="23" t="s">
        <v>289</v>
      </c>
      <c r="B44" s="23">
        <v>2</v>
      </c>
      <c r="C44" s="23">
        <v>3784800</v>
      </c>
      <c r="D44" s="23">
        <v>1</v>
      </c>
      <c r="E44" s="23">
        <v>0.20599999999999999</v>
      </c>
      <c r="F44" s="23" t="s">
        <v>99</v>
      </c>
      <c r="G44" s="23">
        <v>392</v>
      </c>
      <c r="H44" s="23" t="s">
        <v>91</v>
      </c>
      <c r="I44" s="23">
        <v>525</v>
      </c>
      <c r="J44" s="23" t="s">
        <v>305</v>
      </c>
      <c r="K44" s="23" t="s">
        <v>694</v>
      </c>
      <c r="L44" s="23">
        <v>0</v>
      </c>
      <c r="M44" s="23" t="s">
        <v>296</v>
      </c>
      <c r="N44" s="23" t="s">
        <v>608</v>
      </c>
      <c r="O44" s="23" t="s">
        <v>607</v>
      </c>
    </row>
    <row r="45" spans="1:15">
      <c r="A45" s="23" t="s">
        <v>289</v>
      </c>
      <c r="B45" s="23">
        <v>2</v>
      </c>
      <c r="C45" s="23">
        <v>3784800</v>
      </c>
      <c r="D45" s="23">
        <v>1</v>
      </c>
      <c r="E45" s="23">
        <v>4.5999999999999999E-2</v>
      </c>
      <c r="F45" s="23" t="s">
        <v>99</v>
      </c>
      <c r="G45" s="23">
        <v>539</v>
      </c>
      <c r="H45" s="23" t="s">
        <v>91</v>
      </c>
      <c r="I45" s="23">
        <v>84</v>
      </c>
      <c r="J45" s="23" t="s">
        <v>305</v>
      </c>
      <c r="K45" s="23" t="s">
        <v>695</v>
      </c>
      <c r="L45" s="23">
        <v>0</v>
      </c>
      <c r="M45" s="23" t="s">
        <v>296</v>
      </c>
      <c r="N45" s="23" t="s">
        <v>608</v>
      </c>
      <c r="O45" s="23" t="s">
        <v>607</v>
      </c>
    </row>
    <row r="46" spans="1:15">
      <c r="A46" s="23" t="s">
        <v>289</v>
      </c>
      <c r="B46" s="23">
        <v>2</v>
      </c>
      <c r="C46" s="23">
        <v>3784800</v>
      </c>
      <c r="D46" s="23">
        <v>1</v>
      </c>
      <c r="E46" s="23">
        <v>4.5999999999999999E-2</v>
      </c>
      <c r="F46" s="23" t="s">
        <v>99</v>
      </c>
      <c r="G46" s="23">
        <v>539</v>
      </c>
      <c r="H46" s="23" t="s">
        <v>91</v>
      </c>
      <c r="I46" s="23">
        <v>84</v>
      </c>
      <c r="J46" s="23" t="s">
        <v>305</v>
      </c>
      <c r="K46" s="23" t="s">
        <v>696</v>
      </c>
      <c r="L46" s="23">
        <v>0</v>
      </c>
      <c r="M46" s="23" t="s">
        <v>296</v>
      </c>
      <c r="N46" s="23" t="s">
        <v>608</v>
      </c>
      <c r="O46" s="23" t="s">
        <v>607</v>
      </c>
    </row>
    <row r="47" spans="1:15">
      <c r="A47" s="23" t="s">
        <v>289</v>
      </c>
      <c r="B47" s="23">
        <v>2</v>
      </c>
      <c r="C47" s="23">
        <v>3784800</v>
      </c>
      <c r="D47" s="23">
        <v>1</v>
      </c>
      <c r="E47" s="23">
        <v>0.05</v>
      </c>
      <c r="F47" s="23" t="s">
        <v>99</v>
      </c>
      <c r="G47" s="23">
        <v>625</v>
      </c>
      <c r="H47" s="23" t="s">
        <v>91</v>
      </c>
      <c r="I47" s="23">
        <v>80</v>
      </c>
      <c r="J47" s="23" t="s">
        <v>305</v>
      </c>
      <c r="K47" s="23" t="s">
        <v>697</v>
      </c>
      <c r="L47" s="23">
        <v>0</v>
      </c>
      <c r="M47" s="23" t="s">
        <v>296</v>
      </c>
      <c r="N47" s="23" t="s">
        <v>608</v>
      </c>
      <c r="O47" s="23" t="s">
        <v>607</v>
      </c>
    </row>
    <row r="48" spans="1:15">
      <c r="A48" s="23" t="s">
        <v>289</v>
      </c>
      <c r="B48" s="23">
        <v>2</v>
      </c>
      <c r="C48" s="23">
        <v>3784800</v>
      </c>
      <c r="D48" s="23">
        <v>1</v>
      </c>
      <c r="E48" s="23">
        <v>0.05</v>
      </c>
      <c r="F48" s="23" t="s">
        <v>99</v>
      </c>
      <c r="G48" s="23">
        <v>625</v>
      </c>
      <c r="H48" s="23" t="s">
        <v>91</v>
      </c>
      <c r="I48" s="23">
        <v>80</v>
      </c>
      <c r="J48" s="23" t="s">
        <v>305</v>
      </c>
      <c r="K48" s="23" t="s">
        <v>698</v>
      </c>
      <c r="L48" s="23">
        <v>0</v>
      </c>
      <c r="M48" s="23" t="s">
        <v>296</v>
      </c>
      <c r="N48" s="23" t="s">
        <v>608</v>
      </c>
      <c r="O48" s="23" t="s">
        <v>607</v>
      </c>
    </row>
    <row r="49" spans="1:15">
      <c r="A49" s="23" t="s">
        <v>86</v>
      </c>
      <c r="B49" s="23">
        <v>1</v>
      </c>
      <c r="C49" s="23">
        <v>4512200</v>
      </c>
      <c r="D49" s="23">
        <v>1</v>
      </c>
      <c r="E49" s="23">
        <v>0.30099999999999999</v>
      </c>
      <c r="F49" s="23" t="s">
        <v>99</v>
      </c>
      <c r="G49" s="23">
        <v>483</v>
      </c>
      <c r="H49" s="23" t="s">
        <v>91</v>
      </c>
      <c r="I49" s="23">
        <v>622</v>
      </c>
      <c r="J49" s="23" t="s">
        <v>700</v>
      </c>
      <c r="K49" s="23" t="s">
        <v>699</v>
      </c>
      <c r="L49" s="23">
        <v>1</v>
      </c>
      <c r="M49" s="23" t="s">
        <v>296</v>
      </c>
      <c r="N49" s="23" t="s">
        <v>608</v>
      </c>
      <c r="O49" s="23" t="s">
        <v>607</v>
      </c>
    </row>
    <row r="50" spans="1:15">
      <c r="A50" s="23" t="s">
        <v>86</v>
      </c>
      <c r="B50" s="23">
        <v>4</v>
      </c>
      <c r="C50" s="23" t="s">
        <v>360</v>
      </c>
      <c r="D50" s="23">
        <v>1</v>
      </c>
      <c r="E50" s="23">
        <v>0.56000000000000005</v>
      </c>
      <c r="F50" s="23" t="s">
        <v>315</v>
      </c>
      <c r="G50" s="23">
        <v>560</v>
      </c>
      <c r="H50" s="23" t="s">
        <v>91</v>
      </c>
      <c r="I50" s="23">
        <v>0</v>
      </c>
      <c r="J50" s="23" t="s">
        <v>361</v>
      </c>
      <c r="K50" s="23">
        <v>41621</v>
      </c>
      <c r="L50" s="23">
        <v>0.55000000000000004</v>
      </c>
      <c r="M50" s="23" t="s">
        <v>296</v>
      </c>
      <c r="N50" s="23" t="s">
        <v>608</v>
      </c>
      <c r="O50" s="23" t="s">
        <v>607</v>
      </c>
    </row>
    <row r="51" spans="1:15">
      <c r="A51" s="23" t="s">
        <v>59</v>
      </c>
      <c r="B51" s="23">
        <v>16</v>
      </c>
      <c r="C51" s="23" t="s">
        <v>460</v>
      </c>
      <c r="D51" s="23">
        <v>17</v>
      </c>
      <c r="E51" s="23"/>
      <c r="F51" s="23" t="s">
        <v>315</v>
      </c>
      <c r="G51" s="23"/>
      <c r="H51" s="23"/>
      <c r="I51" s="23"/>
      <c r="J51" s="23" t="s">
        <v>461</v>
      </c>
      <c r="K51" s="23">
        <v>114879</v>
      </c>
      <c r="L51" s="23">
        <v>1.1000000000000001</v>
      </c>
      <c r="M51" s="23" t="s">
        <v>296</v>
      </c>
      <c r="N51" s="23" t="s">
        <v>608</v>
      </c>
      <c r="O51" s="23" t="s">
        <v>607</v>
      </c>
    </row>
    <row r="52" spans="1:15">
      <c r="A52" s="23" t="s">
        <v>86</v>
      </c>
      <c r="B52" s="23">
        <v>5</v>
      </c>
      <c r="C52" s="23" t="s">
        <v>386</v>
      </c>
      <c r="D52" s="23">
        <v>2</v>
      </c>
      <c r="E52" s="23">
        <v>3</v>
      </c>
      <c r="F52" s="23" t="s">
        <v>315</v>
      </c>
      <c r="G52" s="23">
        <v>1500</v>
      </c>
      <c r="H52" s="23" t="s">
        <v>91</v>
      </c>
      <c r="I52" s="23">
        <v>0</v>
      </c>
      <c r="J52" s="23" t="s">
        <v>387</v>
      </c>
      <c r="K52" s="23">
        <v>41629</v>
      </c>
      <c r="L52" s="23">
        <v>2.1800000000000002</v>
      </c>
      <c r="M52" s="23" t="s">
        <v>296</v>
      </c>
      <c r="N52" s="23" t="s">
        <v>608</v>
      </c>
      <c r="O52" s="23" t="s">
        <v>607</v>
      </c>
    </row>
  </sheetData>
  <autoFilter ref="A1:O3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workbookViewId="0">
      <pane ySplit="1" topLeftCell="A2" activePane="bottomLeft" state="frozen"/>
      <selection pane="bottomLeft" activeCell="A7" sqref="A7:O7"/>
    </sheetView>
  </sheetViews>
  <sheetFormatPr defaultRowHeight="14.4"/>
  <cols>
    <col min="1" max="2" width="10" customWidth="1"/>
    <col min="3" max="3" width="11" customWidth="1"/>
    <col min="4" max="9" width="10" customWidth="1"/>
    <col min="10" max="10" width="52" customWidth="1"/>
    <col min="11" max="11" width="12" customWidth="1"/>
    <col min="12" max="12" width="10" customWidth="1"/>
    <col min="13" max="13" width="11" customWidth="1"/>
    <col min="14" max="14" width="38" customWidth="1"/>
    <col min="15" max="15" width="11" customWidth="1"/>
  </cols>
  <sheetData>
    <row r="1" spans="1:15">
      <c r="A1" s="22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740</v>
      </c>
      <c r="G1" s="22" t="s">
        <v>7</v>
      </c>
      <c r="H1" s="22" t="s">
        <v>741</v>
      </c>
      <c r="I1" s="22" t="s">
        <v>742</v>
      </c>
      <c r="J1" s="22" t="s">
        <v>9</v>
      </c>
      <c r="K1" s="22" t="s">
        <v>10</v>
      </c>
      <c r="L1" s="22" t="s">
        <v>20</v>
      </c>
      <c r="M1" s="22" t="s">
        <v>22</v>
      </c>
      <c r="N1" s="22" t="s">
        <v>23</v>
      </c>
      <c r="O1" s="22" t="s">
        <v>24</v>
      </c>
    </row>
    <row r="2" spans="1:15">
      <c r="A2" s="23" t="s">
        <v>86</v>
      </c>
      <c r="B2" s="23">
        <v>4</v>
      </c>
      <c r="C2" s="23" t="s">
        <v>487</v>
      </c>
      <c r="D2" s="23">
        <v>1</v>
      </c>
      <c r="E2" s="23"/>
      <c r="F2" s="23" t="s">
        <v>48</v>
      </c>
      <c r="G2" s="23"/>
      <c r="H2" s="23"/>
      <c r="I2" s="23"/>
      <c r="J2" s="23" t="s">
        <v>488</v>
      </c>
      <c r="K2" s="23" t="s">
        <v>482</v>
      </c>
      <c r="L2" s="23">
        <v>5.8</v>
      </c>
      <c r="M2" s="23" t="s">
        <v>124</v>
      </c>
      <c r="N2" s="23" t="s">
        <v>476</v>
      </c>
      <c r="O2" s="23" t="s">
        <v>475</v>
      </c>
    </row>
    <row r="3" spans="1:15">
      <c r="A3" s="23" t="s">
        <v>86</v>
      </c>
      <c r="B3" s="23">
        <v>4</v>
      </c>
      <c r="C3" s="23" t="s">
        <v>487</v>
      </c>
      <c r="D3" s="23">
        <v>1</v>
      </c>
      <c r="E3" s="23"/>
      <c r="F3" s="23" t="s">
        <v>48</v>
      </c>
      <c r="G3" s="23"/>
      <c r="H3" s="23"/>
      <c r="I3" s="23"/>
      <c r="J3" s="23" t="s">
        <v>488</v>
      </c>
      <c r="K3" s="23" t="s">
        <v>482</v>
      </c>
      <c r="L3" s="23">
        <v>5.8</v>
      </c>
      <c r="M3" s="23" t="s">
        <v>124</v>
      </c>
      <c r="N3" s="23" t="s">
        <v>476</v>
      </c>
      <c r="O3" s="23" t="s">
        <v>563</v>
      </c>
    </row>
    <row r="4" spans="1:15">
      <c r="A4" s="23" t="s">
        <v>86</v>
      </c>
      <c r="B4" s="23">
        <v>4</v>
      </c>
      <c r="C4" s="23" t="s">
        <v>487</v>
      </c>
      <c r="D4" s="23">
        <v>1</v>
      </c>
      <c r="E4" s="23"/>
      <c r="F4" s="23" t="s">
        <v>48</v>
      </c>
      <c r="G4" s="23"/>
      <c r="H4" s="23"/>
      <c r="I4" s="23"/>
      <c r="J4" s="23" t="s">
        <v>488</v>
      </c>
      <c r="K4" s="23" t="s">
        <v>482</v>
      </c>
      <c r="L4" s="23">
        <v>5.8</v>
      </c>
      <c r="M4" s="23" t="s">
        <v>124</v>
      </c>
      <c r="N4" s="23" t="s">
        <v>568</v>
      </c>
      <c r="O4" s="23" t="s">
        <v>567</v>
      </c>
    </row>
    <row r="5" spans="1:15">
      <c r="A5" s="23" t="s">
        <v>86</v>
      </c>
      <c r="B5" s="23">
        <v>4</v>
      </c>
      <c r="C5" s="23" t="s">
        <v>487</v>
      </c>
      <c r="D5" s="23">
        <v>1</v>
      </c>
      <c r="E5" s="23"/>
      <c r="F5" s="23" t="s">
        <v>48</v>
      </c>
      <c r="G5" s="23"/>
      <c r="H5" s="23"/>
      <c r="I5" s="23"/>
      <c r="J5" s="23" t="s">
        <v>488</v>
      </c>
      <c r="K5" s="23" t="s">
        <v>482</v>
      </c>
      <c r="L5" s="23">
        <v>5.8</v>
      </c>
      <c r="M5" s="23" t="s">
        <v>124</v>
      </c>
      <c r="N5" s="23" t="s">
        <v>476</v>
      </c>
      <c r="O5" s="23" t="s">
        <v>603</v>
      </c>
    </row>
    <row r="6" spans="1:15">
      <c r="A6" s="23" t="s">
        <v>86</v>
      </c>
      <c r="B6" s="23">
        <v>4</v>
      </c>
      <c r="C6" s="23" t="s">
        <v>122</v>
      </c>
      <c r="D6" s="23">
        <v>1</v>
      </c>
      <c r="E6" s="23"/>
      <c r="F6" s="23" t="s">
        <v>48</v>
      </c>
      <c r="G6" s="23"/>
      <c r="H6" s="23"/>
      <c r="I6" s="23"/>
      <c r="J6" s="23" t="s">
        <v>123</v>
      </c>
      <c r="K6" s="23" t="s">
        <v>107</v>
      </c>
      <c r="L6" s="23">
        <v>9.1999999999999993</v>
      </c>
      <c r="M6" s="23" t="s">
        <v>124</v>
      </c>
      <c r="N6" s="23" t="s">
        <v>49</v>
      </c>
      <c r="O6" s="23" t="s">
        <v>47</v>
      </c>
    </row>
    <row r="7" spans="1:15">
      <c r="A7" s="23" t="s">
        <v>86</v>
      </c>
      <c r="B7" s="23">
        <v>4</v>
      </c>
      <c r="C7" s="23" t="s">
        <v>487</v>
      </c>
      <c r="D7" s="23">
        <v>1</v>
      </c>
      <c r="E7" s="23"/>
      <c r="F7" s="23" t="s">
        <v>48</v>
      </c>
      <c r="G7" s="23"/>
      <c r="H7" s="23"/>
      <c r="I7" s="23"/>
      <c r="J7" s="23" t="s">
        <v>488</v>
      </c>
      <c r="K7" s="23" t="s">
        <v>617</v>
      </c>
      <c r="L7" s="23">
        <v>5.8</v>
      </c>
      <c r="M7" s="23" t="s">
        <v>124</v>
      </c>
      <c r="N7" s="23" t="s">
        <v>608</v>
      </c>
      <c r="O7" s="23" t="s">
        <v>607</v>
      </c>
    </row>
  </sheetData>
  <autoFilter ref="A1:O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4"/>
  <sheetViews>
    <sheetView workbookViewId="0">
      <pane ySplit="1" topLeftCell="A2" activePane="bottomLeft" state="frozen"/>
      <selection pane="bottomLeft" activeCell="J87" sqref="J87:J104"/>
    </sheetView>
  </sheetViews>
  <sheetFormatPr defaultRowHeight="14.4"/>
  <cols>
    <col min="1" max="2" width="10" customWidth="1"/>
    <col min="3" max="3" width="12" customWidth="1"/>
    <col min="4" max="6" width="10" customWidth="1"/>
    <col min="7" max="7" width="12" customWidth="1"/>
    <col min="8" max="9" width="10" customWidth="1"/>
    <col min="10" max="10" width="42" customWidth="1"/>
    <col min="11" max="11" width="12" customWidth="1"/>
    <col min="12" max="13" width="10" customWidth="1"/>
    <col min="14" max="14" width="38" customWidth="1"/>
    <col min="15" max="15" width="11" customWidth="1"/>
  </cols>
  <sheetData>
    <row r="1" spans="1:15">
      <c r="A1" s="20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740</v>
      </c>
      <c r="G1" s="20" t="s">
        <v>7</v>
      </c>
      <c r="H1" s="20" t="s">
        <v>741</v>
      </c>
      <c r="I1" s="20" t="s">
        <v>742</v>
      </c>
      <c r="J1" s="20" t="s">
        <v>9</v>
      </c>
      <c r="K1" s="20" t="s">
        <v>10</v>
      </c>
      <c r="L1" s="20" t="s">
        <v>20</v>
      </c>
      <c r="M1" s="20" t="s">
        <v>22</v>
      </c>
      <c r="N1" s="20" t="s">
        <v>23</v>
      </c>
      <c r="O1" s="20" t="s">
        <v>24</v>
      </c>
    </row>
    <row r="2" spans="1:15">
      <c r="A2" s="21" t="s">
        <v>79</v>
      </c>
      <c r="B2" s="21">
        <v>1</v>
      </c>
      <c r="C2" s="21" t="s">
        <v>80</v>
      </c>
      <c r="D2" s="21">
        <v>1</v>
      </c>
      <c r="E2" s="21"/>
      <c r="F2" s="21" t="s">
        <v>48</v>
      </c>
      <c r="G2" s="21"/>
      <c r="H2" s="21"/>
      <c r="I2" s="21"/>
      <c r="J2" s="21" t="s">
        <v>81</v>
      </c>
      <c r="K2" s="21" t="s">
        <v>80</v>
      </c>
      <c r="L2" s="21">
        <v>160.333</v>
      </c>
      <c r="M2" s="21" t="s">
        <v>82</v>
      </c>
      <c r="N2" s="21" t="s">
        <v>49</v>
      </c>
      <c r="O2" s="21" t="s">
        <v>47</v>
      </c>
    </row>
    <row r="3" spans="1:15">
      <c r="A3" s="21" t="s">
        <v>86</v>
      </c>
      <c r="B3" s="21">
        <v>1</v>
      </c>
      <c r="C3" s="21" t="s">
        <v>87</v>
      </c>
      <c r="D3" s="21">
        <v>1</v>
      </c>
      <c r="E3" s="21"/>
      <c r="F3" s="21" t="s">
        <v>48</v>
      </c>
      <c r="G3" s="21"/>
      <c r="H3" s="21"/>
      <c r="I3" s="21"/>
      <c r="J3" s="21" t="s">
        <v>88</v>
      </c>
      <c r="K3" s="21" t="s">
        <v>87</v>
      </c>
      <c r="L3" s="21">
        <v>103.9</v>
      </c>
      <c r="M3" s="21" t="s">
        <v>82</v>
      </c>
      <c r="N3" s="21" t="s">
        <v>49</v>
      </c>
      <c r="O3" s="21" t="s">
        <v>47</v>
      </c>
    </row>
    <row r="4" spans="1:15">
      <c r="A4" s="21" t="s">
        <v>90</v>
      </c>
      <c r="B4" s="21">
        <v>1</v>
      </c>
      <c r="C4" s="21">
        <v>25632300</v>
      </c>
      <c r="D4" s="21">
        <v>1</v>
      </c>
      <c r="E4" s="21">
        <v>740</v>
      </c>
      <c r="F4" s="21" t="s">
        <v>91</v>
      </c>
      <c r="G4" s="21">
        <v>740</v>
      </c>
      <c r="H4" s="21" t="s">
        <v>91</v>
      </c>
      <c r="I4" s="21">
        <v>0</v>
      </c>
      <c r="J4" s="21" t="s">
        <v>92</v>
      </c>
      <c r="K4" s="21" t="s">
        <v>87</v>
      </c>
      <c r="L4" s="21">
        <v>0</v>
      </c>
      <c r="M4" s="21" t="s">
        <v>82</v>
      </c>
      <c r="N4" s="21" t="s">
        <v>49</v>
      </c>
      <c r="O4" s="21" t="s">
        <v>47</v>
      </c>
    </row>
    <row r="5" spans="1:15">
      <c r="A5" s="21" t="s">
        <v>90</v>
      </c>
      <c r="B5" s="21">
        <v>2</v>
      </c>
      <c r="C5" s="21">
        <v>3741900</v>
      </c>
      <c r="D5" s="21">
        <v>2</v>
      </c>
      <c r="E5" s="21">
        <v>0.30399999999999999</v>
      </c>
      <c r="F5" s="21" t="s">
        <v>99</v>
      </c>
      <c r="G5" s="21">
        <v>390</v>
      </c>
      <c r="H5" s="21" t="s">
        <v>91</v>
      </c>
      <c r="I5" s="21">
        <v>390</v>
      </c>
      <c r="J5" s="21" t="s">
        <v>100</v>
      </c>
      <c r="K5" s="21" t="s">
        <v>87</v>
      </c>
      <c r="L5" s="21">
        <v>0</v>
      </c>
      <c r="M5" s="21" t="s">
        <v>82</v>
      </c>
      <c r="N5" s="21" t="s">
        <v>49</v>
      </c>
      <c r="O5" s="21" t="s">
        <v>47</v>
      </c>
    </row>
    <row r="6" spans="1:15">
      <c r="A6" s="21" t="s">
        <v>90</v>
      </c>
      <c r="B6" s="21">
        <v>3</v>
      </c>
      <c r="C6" s="21">
        <v>3740200</v>
      </c>
      <c r="D6" s="21">
        <v>2</v>
      </c>
      <c r="E6" s="21">
        <v>2E-3</v>
      </c>
      <c r="F6" s="21" t="s">
        <v>99</v>
      </c>
      <c r="G6" s="21">
        <v>52</v>
      </c>
      <c r="H6" s="21" t="s">
        <v>91</v>
      </c>
      <c r="I6" s="21">
        <v>21</v>
      </c>
      <c r="J6" s="21" t="s">
        <v>105</v>
      </c>
      <c r="K6" s="21" t="s">
        <v>87</v>
      </c>
      <c r="L6" s="21">
        <v>0</v>
      </c>
      <c r="M6" s="21" t="s">
        <v>82</v>
      </c>
      <c r="N6" s="21" t="s">
        <v>49</v>
      </c>
      <c r="O6" s="21" t="s">
        <v>47</v>
      </c>
    </row>
    <row r="7" spans="1:15">
      <c r="A7" s="21" t="s">
        <v>86</v>
      </c>
      <c r="B7" s="21">
        <v>2</v>
      </c>
      <c r="C7" s="21" t="s">
        <v>107</v>
      </c>
      <c r="D7" s="21">
        <v>1</v>
      </c>
      <c r="E7" s="21"/>
      <c r="F7" s="21" t="s">
        <v>48</v>
      </c>
      <c r="G7" s="21"/>
      <c r="H7" s="21"/>
      <c r="I7" s="21"/>
      <c r="J7" s="21" t="s">
        <v>108</v>
      </c>
      <c r="K7" s="21" t="s">
        <v>107</v>
      </c>
      <c r="L7" s="21">
        <v>42.883000000000003</v>
      </c>
      <c r="M7" s="21" t="s">
        <v>82</v>
      </c>
      <c r="N7" s="21" t="s">
        <v>49</v>
      </c>
      <c r="O7" s="21" t="s">
        <v>47</v>
      </c>
    </row>
    <row r="8" spans="1:15">
      <c r="A8" s="21" t="s">
        <v>90</v>
      </c>
      <c r="B8" s="21">
        <v>1</v>
      </c>
      <c r="C8" s="21">
        <v>3779500</v>
      </c>
      <c r="D8" s="21">
        <v>1</v>
      </c>
      <c r="E8" s="21">
        <v>1312</v>
      </c>
      <c r="F8" s="21" t="s">
        <v>91</v>
      </c>
      <c r="G8" s="21">
        <v>1312</v>
      </c>
      <c r="H8" s="21" t="s">
        <v>91</v>
      </c>
      <c r="I8" s="21">
        <v>0</v>
      </c>
      <c r="J8" s="21" t="s">
        <v>110</v>
      </c>
      <c r="K8" s="21" t="s">
        <v>107</v>
      </c>
      <c r="L8" s="21">
        <v>0</v>
      </c>
      <c r="M8" s="21" t="s">
        <v>82</v>
      </c>
      <c r="N8" s="21" t="s">
        <v>49</v>
      </c>
      <c r="O8" s="21" t="s">
        <v>47</v>
      </c>
    </row>
    <row r="9" spans="1:15">
      <c r="A9" s="21" t="s">
        <v>86</v>
      </c>
      <c r="B9" s="21">
        <v>5</v>
      </c>
      <c r="C9" s="21" t="s">
        <v>128</v>
      </c>
      <c r="D9" s="21">
        <v>1</v>
      </c>
      <c r="E9" s="21"/>
      <c r="F9" s="21" t="s">
        <v>48</v>
      </c>
      <c r="G9" s="21"/>
      <c r="H9" s="21"/>
      <c r="I9" s="21"/>
      <c r="J9" s="21" t="s">
        <v>129</v>
      </c>
      <c r="K9" s="21" t="s">
        <v>128</v>
      </c>
      <c r="L9" s="21">
        <v>0.35</v>
      </c>
      <c r="M9" s="21" t="s">
        <v>82</v>
      </c>
      <c r="N9" s="21" t="s">
        <v>49</v>
      </c>
      <c r="O9" s="21" t="s">
        <v>47</v>
      </c>
    </row>
    <row r="10" spans="1:15">
      <c r="A10" s="21" t="s">
        <v>90</v>
      </c>
      <c r="B10" s="21">
        <v>1</v>
      </c>
      <c r="C10" s="21">
        <v>3369800</v>
      </c>
      <c r="D10" s="21">
        <v>1</v>
      </c>
      <c r="E10" s="21">
        <v>20</v>
      </c>
      <c r="F10" s="21" t="s">
        <v>91</v>
      </c>
      <c r="G10" s="21">
        <v>20</v>
      </c>
      <c r="H10" s="21" t="s">
        <v>91</v>
      </c>
      <c r="I10" s="21">
        <v>0</v>
      </c>
      <c r="J10" s="21" t="s">
        <v>131</v>
      </c>
      <c r="K10" s="21" t="s">
        <v>128</v>
      </c>
      <c r="L10" s="21">
        <v>0</v>
      </c>
      <c r="M10" s="21" t="s">
        <v>82</v>
      </c>
      <c r="N10" s="21" t="s">
        <v>49</v>
      </c>
      <c r="O10" s="21" t="s">
        <v>47</v>
      </c>
    </row>
    <row r="11" spans="1:15">
      <c r="A11" s="21" t="s">
        <v>86</v>
      </c>
      <c r="B11" s="21">
        <v>101</v>
      </c>
      <c r="C11" s="21">
        <v>96500</v>
      </c>
      <c r="D11" s="21">
        <v>1</v>
      </c>
      <c r="E11" s="21"/>
      <c r="F11" s="21" t="s">
        <v>48</v>
      </c>
      <c r="G11" s="21" t="s">
        <v>135</v>
      </c>
      <c r="H11" s="21"/>
      <c r="I11" s="21"/>
      <c r="J11" s="21" t="s">
        <v>136</v>
      </c>
      <c r="K11" s="21" t="s">
        <v>128</v>
      </c>
      <c r="L11" s="21">
        <v>0</v>
      </c>
      <c r="M11" s="21" t="s">
        <v>82</v>
      </c>
      <c r="N11" s="21" t="s">
        <v>49</v>
      </c>
      <c r="O11" s="21" t="s">
        <v>47</v>
      </c>
    </row>
    <row r="12" spans="1:15">
      <c r="A12" s="21" t="s">
        <v>86</v>
      </c>
      <c r="B12" s="21">
        <v>102</v>
      </c>
      <c r="C12" s="21">
        <v>2593100</v>
      </c>
      <c r="D12" s="21">
        <v>1</v>
      </c>
      <c r="E12" s="21"/>
      <c r="F12" s="21" t="s">
        <v>48</v>
      </c>
      <c r="G12" s="21" t="s">
        <v>141</v>
      </c>
      <c r="H12" s="21"/>
      <c r="I12" s="21"/>
      <c r="J12" s="21" t="s">
        <v>142</v>
      </c>
      <c r="K12" s="21" t="s">
        <v>128</v>
      </c>
      <c r="L12" s="21">
        <v>0</v>
      </c>
      <c r="M12" s="21" t="s">
        <v>82</v>
      </c>
      <c r="N12" s="21" t="s">
        <v>49</v>
      </c>
      <c r="O12" s="21" t="s">
        <v>47</v>
      </c>
    </row>
    <row r="13" spans="1:15">
      <c r="A13" s="21" t="s">
        <v>79</v>
      </c>
      <c r="B13" s="21">
        <v>1</v>
      </c>
      <c r="C13" s="21" t="s">
        <v>325</v>
      </c>
      <c r="D13" s="21">
        <v>1</v>
      </c>
      <c r="E13" s="21"/>
      <c r="F13" s="21" t="s">
        <v>48</v>
      </c>
      <c r="G13" s="21"/>
      <c r="H13" s="21"/>
      <c r="I13" s="21"/>
      <c r="J13" s="21" t="s">
        <v>326</v>
      </c>
      <c r="K13" s="21" t="s">
        <v>325</v>
      </c>
      <c r="L13" s="21">
        <v>81.587999999999994</v>
      </c>
      <c r="M13" s="21" t="s">
        <v>82</v>
      </c>
      <c r="N13" s="21" t="s">
        <v>49</v>
      </c>
      <c r="O13" s="21" t="s">
        <v>47</v>
      </c>
    </row>
    <row r="14" spans="1:15">
      <c r="A14" s="21" t="s">
        <v>86</v>
      </c>
      <c r="B14" s="21">
        <v>1</v>
      </c>
      <c r="C14" s="21" t="s">
        <v>327</v>
      </c>
      <c r="D14" s="21">
        <v>1</v>
      </c>
      <c r="E14" s="21"/>
      <c r="F14" s="21" t="s">
        <v>48</v>
      </c>
      <c r="G14" s="21"/>
      <c r="H14" s="21"/>
      <c r="I14" s="21"/>
      <c r="J14" s="21" t="s">
        <v>328</v>
      </c>
      <c r="K14" s="21" t="s">
        <v>327</v>
      </c>
      <c r="L14" s="21">
        <v>64.986999999999995</v>
      </c>
      <c r="M14" s="21" t="s">
        <v>82</v>
      </c>
      <c r="N14" s="21" t="s">
        <v>49</v>
      </c>
      <c r="O14" s="21" t="s">
        <v>47</v>
      </c>
    </row>
    <row r="15" spans="1:15">
      <c r="A15" s="21" t="s">
        <v>90</v>
      </c>
      <c r="B15" s="21">
        <v>1</v>
      </c>
      <c r="C15" s="21">
        <v>299200</v>
      </c>
      <c r="D15" s="21">
        <v>1</v>
      </c>
      <c r="E15" s="21">
        <v>740</v>
      </c>
      <c r="F15" s="21" t="s">
        <v>91</v>
      </c>
      <c r="G15" s="21">
        <v>740</v>
      </c>
      <c r="H15" s="21" t="s">
        <v>91</v>
      </c>
      <c r="I15" s="21">
        <v>0</v>
      </c>
      <c r="J15" s="21" t="s">
        <v>329</v>
      </c>
      <c r="K15" s="21" t="s">
        <v>327</v>
      </c>
      <c r="L15" s="21">
        <v>0</v>
      </c>
      <c r="M15" s="21" t="s">
        <v>82</v>
      </c>
      <c r="N15" s="21" t="s">
        <v>49</v>
      </c>
      <c r="O15" s="21" t="s">
        <v>47</v>
      </c>
    </row>
    <row r="16" spans="1:15">
      <c r="A16" s="21" t="s">
        <v>90</v>
      </c>
      <c r="B16" s="21">
        <v>2</v>
      </c>
      <c r="C16" s="21">
        <v>3741900</v>
      </c>
      <c r="D16" s="21">
        <v>2</v>
      </c>
      <c r="E16" s="21">
        <v>0.19400000000000001</v>
      </c>
      <c r="F16" s="21" t="s">
        <v>99</v>
      </c>
      <c r="G16" s="21">
        <v>311</v>
      </c>
      <c r="H16" s="21" t="s">
        <v>91</v>
      </c>
      <c r="I16" s="21">
        <v>311</v>
      </c>
      <c r="J16" s="21" t="s">
        <v>100</v>
      </c>
      <c r="K16" s="21" t="s">
        <v>327</v>
      </c>
      <c r="L16" s="21">
        <v>0</v>
      </c>
      <c r="M16" s="21" t="s">
        <v>82</v>
      </c>
      <c r="N16" s="21" t="s">
        <v>49</v>
      </c>
      <c r="O16" s="21" t="s">
        <v>47</v>
      </c>
    </row>
    <row r="17" spans="1:15">
      <c r="A17" s="21" t="s">
        <v>86</v>
      </c>
      <c r="B17" s="21">
        <v>2</v>
      </c>
      <c r="C17" s="21" t="s">
        <v>330</v>
      </c>
      <c r="D17" s="21">
        <v>1</v>
      </c>
      <c r="E17" s="21"/>
      <c r="F17" s="21" t="s">
        <v>48</v>
      </c>
      <c r="G17" s="21"/>
      <c r="H17" s="21"/>
      <c r="I17" s="21"/>
      <c r="J17" s="21" t="s">
        <v>331</v>
      </c>
      <c r="K17" s="21" t="s">
        <v>330</v>
      </c>
      <c r="L17" s="21">
        <v>15.000999999999999</v>
      </c>
      <c r="M17" s="21" t="s">
        <v>82</v>
      </c>
      <c r="N17" s="21" t="s">
        <v>49</v>
      </c>
      <c r="O17" s="21" t="s">
        <v>47</v>
      </c>
    </row>
    <row r="18" spans="1:15">
      <c r="A18" s="21" t="s">
        <v>90</v>
      </c>
      <c r="B18" s="21">
        <v>1</v>
      </c>
      <c r="C18" s="21">
        <v>2822300</v>
      </c>
      <c r="D18" s="21">
        <v>1</v>
      </c>
      <c r="E18" s="21">
        <v>974</v>
      </c>
      <c r="F18" s="21" t="s">
        <v>91</v>
      </c>
      <c r="G18" s="21">
        <v>974</v>
      </c>
      <c r="H18" s="21" t="s">
        <v>91</v>
      </c>
      <c r="I18" s="21">
        <v>0</v>
      </c>
      <c r="J18" s="21" t="s">
        <v>332</v>
      </c>
      <c r="K18" s="21" t="s">
        <v>330</v>
      </c>
      <c r="L18" s="21">
        <v>0</v>
      </c>
      <c r="M18" s="21" t="s">
        <v>82</v>
      </c>
      <c r="N18" s="21" t="s">
        <v>49</v>
      </c>
      <c r="O18" s="21" t="s">
        <v>47</v>
      </c>
    </row>
    <row r="19" spans="1:15">
      <c r="A19" s="21" t="s">
        <v>79</v>
      </c>
      <c r="B19" s="21">
        <v>1</v>
      </c>
      <c r="C19" s="21" t="s">
        <v>478</v>
      </c>
      <c r="D19" s="21">
        <v>1</v>
      </c>
      <c r="E19" s="21"/>
      <c r="F19" s="21" t="s">
        <v>48</v>
      </c>
      <c r="G19" s="21"/>
      <c r="H19" s="21"/>
      <c r="I19" s="21"/>
      <c r="J19" s="21" t="s">
        <v>479</v>
      </c>
      <c r="K19" s="21" t="s">
        <v>478</v>
      </c>
      <c r="L19" s="21">
        <v>86.938999999999993</v>
      </c>
      <c r="M19" s="21" t="s">
        <v>82</v>
      </c>
      <c r="N19" s="21" t="s">
        <v>476</v>
      </c>
      <c r="O19" s="21" t="s">
        <v>475</v>
      </c>
    </row>
    <row r="20" spans="1:15">
      <c r="A20" s="21" t="s">
        <v>86</v>
      </c>
      <c r="B20" s="21">
        <v>1</v>
      </c>
      <c r="C20" s="21" t="s">
        <v>480</v>
      </c>
      <c r="D20" s="21">
        <v>1</v>
      </c>
      <c r="E20" s="21"/>
      <c r="F20" s="21" t="s">
        <v>48</v>
      </c>
      <c r="G20" s="21"/>
      <c r="H20" s="21"/>
      <c r="I20" s="21"/>
      <c r="J20" s="21" t="s">
        <v>481</v>
      </c>
      <c r="K20" s="21" t="s">
        <v>480</v>
      </c>
      <c r="L20" s="21">
        <v>56.3</v>
      </c>
      <c r="M20" s="21" t="s">
        <v>82</v>
      </c>
      <c r="N20" s="21" t="s">
        <v>476</v>
      </c>
      <c r="O20" s="21" t="s">
        <v>475</v>
      </c>
    </row>
    <row r="21" spans="1:15">
      <c r="A21" s="21" t="s">
        <v>90</v>
      </c>
      <c r="B21" s="21">
        <v>1</v>
      </c>
      <c r="C21" s="21">
        <v>299200</v>
      </c>
      <c r="D21" s="21">
        <v>1</v>
      </c>
      <c r="E21" s="21">
        <v>590</v>
      </c>
      <c r="F21" s="21" t="s">
        <v>91</v>
      </c>
      <c r="G21" s="21">
        <v>590</v>
      </c>
      <c r="H21" s="21" t="s">
        <v>91</v>
      </c>
      <c r="I21" s="21">
        <v>0</v>
      </c>
      <c r="J21" s="21" t="s">
        <v>329</v>
      </c>
      <c r="K21" s="21" t="s">
        <v>480</v>
      </c>
      <c r="L21" s="21">
        <v>0</v>
      </c>
      <c r="M21" s="21" t="s">
        <v>82</v>
      </c>
      <c r="N21" s="21" t="s">
        <v>476</v>
      </c>
      <c r="O21" s="21" t="s">
        <v>475</v>
      </c>
    </row>
    <row r="22" spans="1:15">
      <c r="A22" s="21" t="s">
        <v>90</v>
      </c>
      <c r="B22" s="21">
        <v>2</v>
      </c>
      <c r="C22" s="21">
        <v>3741900</v>
      </c>
      <c r="D22" s="21">
        <v>2</v>
      </c>
      <c r="E22" s="21">
        <v>0.19400000000000001</v>
      </c>
      <c r="F22" s="21" t="s">
        <v>99</v>
      </c>
      <c r="G22" s="21">
        <v>311</v>
      </c>
      <c r="H22" s="21" t="s">
        <v>91</v>
      </c>
      <c r="I22" s="21">
        <v>311</v>
      </c>
      <c r="J22" s="21" t="s">
        <v>100</v>
      </c>
      <c r="K22" s="21" t="s">
        <v>480</v>
      </c>
      <c r="L22" s="21">
        <v>0</v>
      </c>
      <c r="M22" s="21" t="s">
        <v>82</v>
      </c>
      <c r="N22" s="21" t="s">
        <v>476</v>
      </c>
      <c r="O22" s="21" t="s">
        <v>475</v>
      </c>
    </row>
    <row r="23" spans="1:15">
      <c r="A23" s="21" t="s">
        <v>90</v>
      </c>
      <c r="B23" s="21">
        <v>3</v>
      </c>
      <c r="C23" s="21">
        <v>3740200</v>
      </c>
      <c r="D23" s="21">
        <v>2</v>
      </c>
      <c r="E23" s="21">
        <v>2E-3</v>
      </c>
      <c r="F23" s="21" t="s">
        <v>99</v>
      </c>
      <c r="G23" s="21">
        <v>52</v>
      </c>
      <c r="H23" s="21" t="s">
        <v>91</v>
      </c>
      <c r="I23" s="21">
        <v>21</v>
      </c>
      <c r="J23" s="21" t="s">
        <v>105</v>
      </c>
      <c r="K23" s="21" t="s">
        <v>480</v>
      </c>
      <c r="L23" s="21">
        <v>0</v>
      </c>
      <c r="M23" s="21" t="s">
        <v>82</v>
      </c>
      <c r="N23" s="21" t="s">
        <v>476</v>
      </c>
      <c r="O23" s="21" t="s">
        <v>475</v>
      </c>
    </row>
    <row r="24" spans="1:15">
      <c r="A24" s="21" t="s">
        <v>86</v>
      </c>
      <c r="B24" s="21">
        <v>2</v>
      </c>
      <c r="C24" s="21" t="s">
        <v>482</v>
      </c>
      <c r="D24" s="21">
        <v>1</v>
      </c>
      <c r="E24" s="21"/>
      <c r="F24" s="21" t="s">
        <v>48</v>
      </c>
      <c r="G24" s="21"/>
      <c r="H24" s="21"/>
      <c r="I24" s="21"/>
      <c r="J24" s="21" t="s">
        <v>483</v>
      </c>
      <c r="K24" s="21" t="s">
        <v>482</v>
      </c>
      <c r="L24" s="21">
        <v>22.859000000000002</v>
      </c>
      <c r="M24" s="21" t="s">
        <v>82</v>
      </c>
      <c r="N24" s="21" t="s">
        <v>476</v>
      </c>
      <c r="O24" s="21" t="s">
        <v>475</v>
      </c>
    </row>
    <row r="25" spans="1:15">
      <c r="A25" s="21" t="s">
        <v>90</v>
      </c>
      <c r="B25" s="21">
        <v>1</v>
      </c>
      <c r="C25" s="21">
        <v>2822400</v>
      </c>
      <c r="D25" s="21">
        <v>1</v>
      </c>
      <c r="E25" s="21">
        <v>1112</v>
      </c>
      <c r="F25" s="21" t="s">
        <v>91</v>
      </c>
      <c r="G25" s="21">
        <v>1112</v>
      </c>
      <c r="H25" s="21" t="s">
        <v>91</v>
      </c>
      <c r="I25" s="21">
        <v>0</v>
      </c>
      <c r="J25" s="21" t="s">
        <v>484</v>
      </c>
      <c r="K25" s="21" t="s">
        <v>482</v>
      </c>
      <c r="L25" s="21">
        <v>0</v>
      </c>
      <c r="M25" s="21" t="s">
        <v>82</v>
      </c>
      <c r="N25" s="21" t="s">
        <v>476</v>
      </c>
      <c r="O25" s="21" t="s">
        <v>475</v>
      </c>
    </row>
    <row r="26" spans="1:15">
      <c r="A26" s="21" t="s">
        <v>86</v>
      </c>
      <c r="B26" s="21">
        <v>5</v>
      </c>
      <c r="C26" s="21" t="s">
        <v>489</v>
      </c>
      <c r="D26" s="21">
        <v>1</v>
      </c>
      <c r="E26" s="21"/>
      <c r="F26" s="21" t="s">
        <v>48</v>
      </c>
      <c r="G26" s="21"/>
      <c r="H26" s="21"/>
      <c r="I26" s="21"/>
      <c r="J26" s="21" t="s">
        <v>490</v>
      </c>
      <c r="K26" s="21" t="s">
        <v>489</v>
      </c>
      <c r="L26" s="21">
        <v>0.1</v>
      </c>
      <c r="M26" s="21" t="s">
        <v>82</v>
      </c>
      <c r="N26" s="21" t="s">
        <v>476</v>
      </c>
      <c r="O26" s="21" t="s">
        <v>475</v>
      </c>
    </row>
    <row r="27" spans="1:15">
      <c r="A27" s="21" t="s">
        <v>90</v>
      </c>
      <c r="B27" s="21">
        <v>1</v>
      </c>
      <c r="C27" s="21">
        <v>3695600</v>
      </c>
      <c r="D27" s="21">
        <v>1</v>
      </c>
      <c r="E27" s="21">
        <v>15.8</v>
      </c>
      <c r="F27" s="21" t="s">
        <v>91</v>
      </c>
      <c r="G27" s="21">
        <v>15.8</v>
      </c>
      <c r="H27" s="21" t="s">
        <v>91</v>
      </c>
      <c r="I27" s="21">
        <v>0</v>
      </c>
      <c r="J27" s="21" t="s">
        <v>491</v>
      </c>
      <c r="K27" s="21" t="s">
        <v>489</v>
      </c>
      <c r="L27" s="21">
        <v>0</v>
      </c>
      <c r="M27" s="21" t="s">
        <v>82</v>
      </c>
      <c r="N27" s="21" t="s">
        <v>476</v>
      </c>
      <c r="O27" s="21" t="s">
        <v>475</v>
      </c>
    </row>
    <row r="28" spans="1:15">
      <c r="A28" s="21" t="s">
        <v>86</v>
      </c>
      <c r="B28" s="21">
        <v>101</v>
      </c>
      <c r="C28" s="21">
        <v>1859900</v>
      </c>
      <c r="D28" s="21">
        <v>1</v>
      </c>
      <c r="E28" s="21"/>
      <c r="F28" s="21" t="s">
        <v>48</v>
      </c>
      <c r="G28" s="21" t="s">
        <v>492</v>
      </c>
      <c r="H28" s="21"/>
      <c r="I28" s="21"/>
      <c r="J28" s="21" t="s">
        <v>493</v>
      </c>
      <c r="K28" s="21" t="s">
        <v>489</v>
      </c>
      <c r="L28" s="21">
        <v>0</v>
      </c>
      <c r="M28" s="21" t="s">
        <v>82</v>
      </c>
      <c r="N28" s="21" t="s">
        <v>476</v>
      </c>
      <c r="O28" s="21" t="s">
        <v>475</v>
      </c>
    </row>
    <row r="29" spans="1:15">
      <c r="A29" s="21" t="s">
        <v>86</v>
      </c>
      <c r="B29" s="21">
        <v>102</v>
      </c>
      <c r="C29" s="21">
        <v>1550600</v>
      </c>
      <c r="D29" s="21">
        <v>1</v>
      </c>
      <c r="E29" s="21"/>
      <c r="F29" s="21" t="s">
        <v>48</v>
      </c>
      <c r="G29" s="21" t="s">
        <v>494</v>
      </c>
      <c r="H29" s="21"/>
      <c r="I29" s="21"/>
      <c r="J29" s="21" t="s">
        <v>495</v>
      </c>
      <c r="K29" s="21" t="s">
        <v>489</v>
      </c>
      <c r="L29" s="21">
        <v>0.08</v>
      </c>
      <c r="M29" s="21" t="s">
        <v>82</v>
      </c>
      <c r="N29" s="21" t="s">
        <v>476</v>
      </c>
      <c r="O29" s="21" t="s">
        <v>475</v>
      </c>
    </row>
    <row r="30" spans="1:15">
      <c r="A30" s="21" t="s">
        <v>79</v>
      </c>
      <c r="B30" s="21">
        <v>1</v>
      </c>
      <c r="C30" s="21" t="s">
        <v>510</v>
      </c>
      <c r="D30" s="21">
        <v>1</v>
      </c>
      <c r="E30" s="21"/>
      <c r="F30" s="21" t="s">
        <v>48</v>
      </c>
      <c r="G30" s="21"/>
      <c r="H30" s="21"/>
      <c r="I30" s="21"/>
      <c r="J30" s="21" t="s">
        <v>511</v>
      </c>
      <c r="K30" s="21" t="s">
        <v>510</v>
      </c>
      <c r="L30" s="21">
        <v>71.087000000000003</v>
      </c>
      <c r="M30" s="21" t="s">
        <v>82</v>
      </c>
      <c r="N30" s="21" t="s">
        <v>476</v>
      </c>
      <c r="O30" s="21" t="s">
        <v>475</v>
      </c>
    </row>
    <row r="31" spans="1:15">
      <c r="A31" s="21" t="s">
        <v>86</v>
      </c>
      <c r="B31" s="21">
        <v>1</v>
      </c>
      <c r="C31" s="21" t="s">
        <v>512</v>
      </c>
      <c r="D31" s="21">
        <v>1</v>
      </c>
      <c r="E31" s="21"/>
      <c r="F31" s="21" t="s">
        <v>48</v>
      </c>
      <c r="G31" s="21"/>
      <c r="H31" s="21"/>
      <c r="I31" s="21"/>
      <c r="J31" s="21" t="s">
        <v>513</v>
      </c>
      <c r="K31" s="21" t="s">
        <v>512</v>
      </c>
      <c r="L31" s="21">
        <v>56.829000000000001</v>
      </c>
      <c r="M31" s="21" t="s">
        <v>82</v>
      </c>
      <c r="N31" s="21" t="s">
        <v>476</v>
      </c>
      <c r="O31" s="21" t="s">
        <v>475</v>
      </c>
    </row>
    <row r="32" spans="1:15">
      <c r="A32" s="21" t="s">
        <v>90</v>
      </c>
      <c r="B32" s="21">
        <v>1</v>
      </c>
      <c r="C32" s="21">
        <v>2816500</v>
      </c>
      <c r="D32" s="21">
        <v>1</v>
      </c>
      <c r="E32" s="21">
        <v>590</v>
      </c>
      <c r="F32" s="21" t="s">
        <v>91</v>
      </c>
      <c r="G32" s="21">
        <v>590</v>
      </c>
      <c r="H32" s="21" t="s">
        <v>91</v>
      </c>
      <c r="I32" s="21">
        <v>0</v>
      </c>
      <c r="J32" s="21" t="s">
        <v>514</v>
      </c>
      <c r="K32" s="21" t="s">
        <v>512</v>
      </c>
      <c r="L32" s="21">
        <v>0</v>
      </c>
      <c r="M32" s="21" t="s">
        <v>82</v>
      </c>
      <c r="N32" s="21" t="s">
        <v>476</v>
      </c>
      <c r="O32" s="21" t="s">
        <v>475</v>
      </c>
    </row>
    <row r="33" spans="1:15">
      <c r="A33" s="21" t="s">
        <v>90</v>
      </c>
      <c r="B33" s="21">
        <v>2</v>
      </c>
      <c r="C33" s="21">
        <v>7500</v>
      </c>
      <c r="D33" s="21">
        <v>2</v>
      </c>
      <c r="E33" s="21">
        <v>0.19400000000000001</v>
      </c>
      <c r="F33" s="21" t="s">
        <v>99</v>
      </c>
      <c r="G33" s="21">
        <v>311</v>
      </c>
      <c r="H33" s="21" t="s">
        <v>91</v>
      </c>
      <c r="I33" s="21">
        <v>311</v>
      </c>
      <c r="J33" s="21" t="s">
        <v>515</v>
      </c>
      <c r="K33" s="21" t="s">
        <v>512</v>
      </c>
      <c r="L33" s="21">
        <v>0</v>
      </c>
      <c r="M33" s="21" t="s">
        <v>82</v>
      </c>
      <c r="N33" s="21" t="s">
        <v>476</v>
      </c>
      <c r="O33" s="21" t="s">
        <v>475</v>
      </c>
    </row>
    <row r="34" spans="1:15">
      <c r="A34" s="21" t="s">
        <v>86</v>
      </c>
      <c r="B34" s="21">
        <v>2</v>
      </c>
      <c r="C34" s="21" t="s">
        <v>516</v>
      </c>
      <c r="D34" s="21">
        <v>1</v>
      </c>
      <c r="E34" s="21"/>
      <c r="F34" s="21" t="s">
        <v>48</v>
      </c>
      <c r="G34" s="21"/>
      <c r="H34" s="21"/>
      <c r="I34" s="21"/>
      <c r="J34" s="21" t="s">
        <v>517</v>
      </c>
      <c r="K34" s="21" t="s">
        <v>516</v>
      </c>
      <c r="L34" s="21">
        <v>12.657999999999999</v>
      </c>
      <c r="M34" s="21" t="s">
        <v>82</v>
      </c>
      <c r="N34" s="21" t="s">
        <v>476</v>
      </c>
      <c r="O34" s="21" t="s">
        <v>475</v>
      </c>
    </row>
    <row r="35" spans="1:15">
      <c r="A35" s="21" t="s">
        <v>90</v>
      </c>
      <c r="B35" s="21">
        <v>1</v>
      </c>
      <c r="C35" s="21">
        <v>2822300</v>
      </c>
      <c r="D35" s="21">
        <v>1</v>
      </c>
      <c r="E35" s="21">
        <v>822</v>
      </c>
      <c r="F35" s="21" t="s">
        <v>91</v>
      </c>
      <c r="G35" s="21">
        <v>822</v>
      </c>
      <c r="H35" s="21" t="s">
        <v>91</v>
      </c>
      <c r="I35" s="21">
        <v>0</v>
      </c>
      <c r="J35" s="21" t="s">
        <v>332</v>
      </c>
      <c r="K35" s="21" t="s">
        <v>516</v>
      </c>
      <c r="L35" s="21">
        <v>0</v>
      </c>
      <c r="M35" s="21" t="s">
        <v>82</v>
      </c>
      <c r="N35" s="21" t="s">
        <v>476</v>
      </c>
      <c r="O35" s="21" t="s">
        <v>475</v>
      </c>
    </row>
    <row r="36" spans="1:15">
      <c r="A36" s="21" t="s">
        <v>79</v>
      </c>
      <c r="B36" s="21">
        <v>1</v>
      </c>
      <c r="C36" s="21" t="s">
        <v>478</v>
      </c>
      <c r="D36" s="21">
        <v>1</v>
      </c>
      <c r="E36" s="21"/>
      <c r="F36" s="21" t="s">
        <v>48</v>
      </c>
      <c r="G36" s="21"/>
      <c r="H36" s="21"/>
      <c r="I36" s="21"/>
      <c r="J36" s="21" t="s">
        <v>479</v>
      </c>
      <c r="K36" s="21" t="s">
        <v>478</v>
      </c>
      <c r="L36" s="21">
        <v>86.938999999999993</v>
      </c>
      <c r="M36" s="21" t="s">
        <v>82</v>
      </c>
      <c r="N36" s="21" t="s">
        <v>476</v>
      </c>
      <c r="O36" s="21" t="s">
        <v>563</v>
      </c>
    </row>
    <row r="37" spans="1:15">
      <c r="A37" s="21" t="s">
        <v>86</v>
      </c>
      <c r="B37" s="21">
        <v>1</v>
      </c>
      <c r="C37" s="21" t="s">
        <v>480</v>
      </c>
      <c r="D37" s="21">
        <v>1</v>
      </c>
      <c r="E37" s="21"/>
      <c r="F37" s="21" t="s">
        <v>48</v>
      </c>
      <c r="G37" s="21"/>
      <c r="H37" s="21"/>
      <c r="I37" s="21"/>
      <c r="J37" s="21" t="s">
        <v>481</v>
      </c>
      <c r="K37" s="21" t="s">
        <v>480</v>
      </c>
      <c r="L37" s="21">
        <v>56.3</v>
      </c>
      <c r="M37" s="21" t="s">
        <v>82</v>
      </c>
      <c r="N37" s="21" t="s">
        <v>476</v>
      </c>
      <c r="O37" s="21" t="s">
        <v>563</v>
      </c>
    </row>
    <row r="38" spans="1:15">
      <c r="A38" s="21" t="s">
        <v>90</v>
      </c>
      <c r="B38" s="21">
        <v>1</v>
      </c>
      <c r="C38" s="21">
        <v>299200</v>
      </c>
      <c r="D38" s="21">
        <v>1</v>
      </c>
      <c r="E38" s="21">
        <v>590</v>
      </c>
      <c r="F38" s="21" t="s">
        <v>91</v>
      </c>
      <c r="G38" s="21">
        <v>590</v>
      </c>
      <c r="H38" s="21" t="s">
        <v>91</v>
      </c>
      <c r="I38" s="21">
        <v>0</v>
      </c>
      <c r="J38" s="21" t="s">
        <v>329</v>
      </c>
      <c r="K38" s="21" t="s">
        <v>480</v>
      </c>
      <c r="L38" s="21">
        <v>0</v>
      </c>
      <c r="M38" s="21" t="s">
        <v>82</v>
      </c>
      <c r="N38" s="21" t="s">
        <v>476</v>
      </c>
      <c r="O38" s="21" t="s">
        <v>563</v>
      </c>
    </row>
    <row r="39" spans="1:15">
      <c r="A39" s="21" t="s">
        <v>90</v>
      </c>
      <c r="B39" s="21">
        <v>2</v>
      </c>
      <c r="C39" s="21">
        <v>3741900</v>
      </c>
      <c r="D39" s="21">
        <v>2</v>
      </c>
      <c r="E39" s="21">
        <v>0.19400000000000001</v>
      </c>
      <c r="F39" s="21" t="s">
        <v>99</v>
      </c>
      <c r="G39" s="21">
        <v>311</v>
      </c>
      <c r="H39" s="21" t="s">
        <v>91</v>
      </c>
      <c r="I39" s="21">
        <v>311</v>
      </c>
      <c r="J39" s="21" t="s">
        <v>100</v>
      </c>
      <c r="K39" s="21" t="s">
        <v>480</v>
      </c>
      <c r="L39" s="21">
        <v>0</v>
      </c>
      <c r="M39" s="21" t="s">
        <v>82</v>
      </c>
      <c r="N39" s="21" t="s">
        <v>476</v>
      </c>
      <c r="O39" s="21" t="s">
        <v>563</v>
      </c>
    </row>
    <row r="40" spans="1:15">
      <c r="A40" s="21" t="s">
        <v>90</v>
      </c>
      <c r="B40" s="21">
        <v>3</v>
      </c>
      <c r="C40" s="21">
        <v>3740200</v>
      </c>
      <c r="D40" s="21">
        <v>2</v>
      </c>
      <c r="E40" s="21">
        <v>2E-3</v>
      </c>
      <c r="F40" s="21" t="s">
        <v>99</v>
      </c>
      <c r="G40" s="21">
        <v>52</v>
      </c>
      <c r="H40" s="21" t="s">
        <v>91</v>
      </c>
      <c r="I40" s="21">
        <v>21</v>
      </c>
      <c r="J40" s="21" t="s">
        <v>105</v>
      </c>
      <c r="K40" s="21" t="s">
        <v>480</v>
      </c>
      <c r="L40" s="21">
        <v>0</v>
      </c>
      <c r="M40" s="21" t="s">
        <v>82</v>
      </c>
      <c r="N40" s="21" t="s">
        <v>476</v>
      </c>
      <c r="O40" s="21" t="s">
        <v>563</v>
      </c>
    </row>
    <row r="41" spans="1:15">
      <c r="A41" s="21" t="s">
        <v>86</v>
      </c>
      <c r="B41" s="21">
        <v>2</v>
      </c>
      <c r="C41" s="21" t="s">
        <v>482</v>
      </c>
      <c r="D41" s="21">
        <v>1</v>
      </c>
      <c r="E41" s="21"/>
      <c r="F41" s="21" t="s">
        <v>48</v>
      </c>
      <c r="G41" s="21"/>
      <c r="H41" s="21"/>
      <c r="I41" s="21"/>
      <c r="J41" s="21" t="s">
        <v>483</v>
      </c>
      <c r="K41" s="21" t="s">
        <v>482</v>
      </c>
      <c r="L41" s="21">
        <v>22.859000000000002</v>
      </c>
      <c r="M41" s="21" t="s">
        <v>82</v>
      </c>
      <c r="N41" s="21" t="s">
        <v>476</v>
      </c>
      <c r="O41" s="21" t="s">
        <v>563</v>
      </c>
    </row>
    <row r="42" spans="1:15">
      <c r="A42" s="21" t="s">
        <v>90</v>
      </c>
      <c r="B42" s="21">
        <v>1</v>
      </c>
      <c r="C42" s="21">
        <v>2822400</v>
      </c>
      <c r="D42" s="21">
        <v>1</v>
      </c>
      <c r="E42" s="21">
        <v>1112</v>
      </c>
      <c r="F42" s="21" t="s">
        <v>91</v>
      </c>
      <c r="G42" s="21">
        <v>1112</v>
      </c>
      <c r="H42" s="21" t="s">
        <v>91</v>
      </c>
      <c r="I42" s="21">
        <v>0</v>
      </c>
      <c r="J42" s="21" t="s">
        <v>484</v>
      </c>
      <c r="K42" s="21" t="s">
        <v>482</v>
      </c>
      <c r="L42" s="21">
        <v>0</v>
      </c>
      <c r="M42" s="21" t="s">
        <v>82</v>
      </c>
      <c r="N42" s="21" t="s">
        <v>476</v>
      </c>
      <c r="O42" s="21" t="s">
        <v>563</v>
      </c>
    </row>
    <row r="43" spans="1:15">
      <c r="A43" s="21" t="s">
        <v>86</v>
      </c>
      <c r="B43" s="21">
        <v>5</v>
      </c>
      <c r="C43" s="21" t="s">
        <v>489</v>
      </c>
      <c r="D43" s="21">
        <v>1</v>
      </c>
      <c r="E43" s="21"/>
      <c r="F43" s="21" t="s">
        <v>48</v>
      </c>
      <c r="G43" s="21"/>
      <c r="H43" s="21"/>
      <c r="I43" s="21"/>
      <c r="J43" s="21" t="s">
        <v>490</v>
      </c>
      <c r="K43" s="21" t="s">
        <v>489</v>
      </c>
      <c r="L43" s="21">
        <v>0.1</v>
      </c>
      <c r="M43" s="21" t="s">
        <v>82</v>
      </c>
      <c r="N43" s="21" t="s">
        <v>476</v>
      </c>
      <c r="O43" s="21" t="s">
        <v>563</v>
      </c>
    </row>
    <row r="44" spans="1:15">
      <c r="A44" s="21" t="s">
        <v>90</v>
      </c>
      <c r="B44" s="21">
        <v>1</v>
      </c>
      <c r="C44" s="21">
        <v>3695600</v>
      </c>
      <c r="D44" s="21">
        <v>1</v>
      </c>
      <c r="E44" s="21">
        <v>15.8</v>
      </c>
      <c r="F44" s="21" t="s">
        <v>91</v>
      </c>
      <c r="G44" s="21">
        <v>15.8</v>
      </c>
      <c r="H44" s="21" t="s">
        <v>91</v>
      </c>
      <c r="I44" s="21">
        <v>0</v>
      </c>
      <c r="J44" s="21" t="s">
        <v>491</v>
      </c>
      <c r="K44" s="21" t="s">
        <v>489</v>
      </c>
      <c r="L44" s="21">
        <v>0</v>
      </c>
      <c r="M44" s="21" t="s">
        <v>82</v>
      </c>
      <c r="N44" s="21" t="s">
        <v>476</v>
      </c>
      <c r="O44" s="21" t="s">
        <v>563</v>
      </c>
    </row>
    <row r="45" spans="1:15">
      <c r="A45" s="21" t="s">
        <v>86</v>
      </c>
      <c r="B45" s="21">
        <v>101</v>
      </c>
      <c r="C45" s="21">
        <v>1859900</v>
      </c>
      <c r="D45" s="21">
        <v>1</v>
      </c>
      <c r="E45" s="21"/>
      <c r="F45" s="21" t="s">
        <v>48</v>
      </c>
      <c r="G45" s="21" t="s">
        <v>492</v>
      </c>
      <c r="H45" s="21"/>
      <c r="I45" s="21"/>
      <c r="J45" s="21" t="s">
        <v>493</v>
      </c>
      <c r="K45" s="21" t="s">
        <v>489</v>
      </c>
      <c r="L45" s="21">
        <v>0</v>
      </c>
      <c r="M45" s="21" t="s">
        <v>82</v>
      </c>
      <c r="N45" s="21" t="s">
        <v>476</v>
      </c>
      <c r="O45" s="21" t="s">
        <v>563</v>
      </c>
    </row>
    <row r="46" spans="1:15">
      <c r="A46" s="21" t="s">
        <v>86</v>
      </c>
      <c r="B46" s="21">
        <v>102</v>
      </c>
      <c r="C46" s="21">
        <v>1550600</v>
      </c>
      <c r="D46" s="21">
        <v>1</v>
      </c>
      <c r="E46" s="21"/>
      <c r="F46" s="21" t="s">
        <v>48</v>
      </c>
      <c r="G46" s="21" t="s">
        <v>494</v>
      </c>
      <c r="H46" s="21"/>
      <c r="I46" s="21"/>
      <c r="J46" s="21" t="s">
        <v>495</v>
      </c>
      <c r="K46" s="21" t="s">
        <v>489</v>
      </c>
      <c r="L46" s="21">
        <v>0.08</v>
      </c>
      <c r="M46" s="21" t="s">
        <v>82</v>
      </c>
      <c r="N46" s="21" t="s">
        <v>476</v>
      </c>
      <c r="O46" s="21" t="s">
        <v>563</v>
      </c>
    </row>
    <row r="47" spans="1:15">
      <c r="A47" s="21" t="s">
        <v>79</v>
      </c>
      <c r="B47" s="21">
        <v>1</v>
      </c>
      <c r="C47" s="21" t="s">
        <v>510</v>
      </c>
      <c r="D47" s="21">
        <v>1</v>
      </c>
      <c r="E47" s="21"/>
      <c r="F47" s="21" t="s">
        <v>48</v>
      </c>
      <c r="G47" s="21"/>
      <c r="H47" s="21"/>
      <c r="I47" s="21"/>
      <c r="J47" s="21" t="s">
        <v>511</v>
      </c>
      <c r="K47" s="21" t="s">
        <v>510</v>
      </c>
      <c r="L47" s="21">
        <v>71.087000000000003</v>
      </c>
      <c r="M47" s="21" t="s">
        <v>82</v>
      </c>
      <c r="N47" s="21" t="s">
        <v>476</v>
      </c>
      <c r="O47" s="21" t="s">
        <v>563</v>
      </c>
    </row>
    <row r="48" spans="1:15">
      <c r="A48" s="21" t="s">
        <v>86</v>
      </c>
      <c r="B48" s="21">
        <v>1</v>
      </c>
      <c r="C48" s="21" t="s">
        <v>512</v>
      </c>
      <c r="D48" s="21">
        <v>1</v>
      </c>
      <c r="E48" s="21"/>
      <c r="F48" s="21" t="s">
        <v>48</v>
      </c>
      <c r="G48" s="21"/>
      <c r="H48" s="21"/>
      <c r="I48" s="21"/>
      <c r="J48" s="21" t="s">
        <v>513</v>
      </c>
      <c r="K48" s="21" t="s">
        <v>512</v>
      </c>
      <c r="L48" s="21">
        <v>56.829000000000001</v>
      </c>
      <c r="M48" s="21" t="s">
        <v>82</v>
      </c>
      <c r="N48" s="21" t="s">
        <v>476</v>
      </c>
      <c r="O48" s="21" t="s">
        <v>563</v>
      </c>
    </row>
    <row r="49" spans="1:15">
      <c r="A49" s="21" t="s">
        <v>90</v>
      </c>
      <c r="B49" s="21">
        <v>1</v>
      </c>
      <c r="C49" s="21">
        <v>2816500</v>
      </c>
      <c r="D49" s="21">
        <v>1</v>
      </c>
      <c r="E49" s="21">
        <v>590</v>
      </c>
      <c r="F49" s="21" t="s">
        <v>91</v>
      </c>
      <c r="G49" s="21">
        <v>590</v>
      </c>
      <c r="H49" s="21" t="s">
        <v>91</v>
      </c>
      <c r="I49" s="21">
        <v>0</v>
      </c>
      <c r="J49" s="21" t="s">
        <v>514</v>
      </c>
      <c r="K49" s="21" t="s">
        <v>512</v>
      </c>
      <c r="L49" s="21">
        <v>0</v>
      </c>
      <c r="M49" s="21" t="s">
        <v>82</v>
      </c>
      <c r="N49" s="21" t="s">
        <v>476</v>
      </c>
      <c r="O49" s="21" t="s">
        <v>563</v>
      </c>
    </row>
    <row r="50" spans="1:15">
      <c r="A50" s="21" t="s">
        <v>90</v>
      </c>
      <c r="B50" s="21">
        <v>2</v>
      </c>
      <c r="C50" s="21">
        <v>7500</v>
      </c>
      <c r="D50" s="21">
        <v>2</v>
      </c>
      <c r="E50" s="21">
        <v>0.19400000000000001</v>
      </c>
      <c r="F50" s="21" t="s">
        <v>99</v>
      </c>
      <c r="G50" s="21">
        <v>311</v>
      </c>
      <c r="H50" s="21" t="s">
        <v>91</v>
      </c>
      <c r="I50" s="21">
        <v>311</v>
      </c>
      <c r="J50" s="21" t="s">
        <v>515</v>
      </c>
      <c r="K50" s="21" t="s">
        <v>512</v>
      </c>
      <c r="L50" s="21">
        <v>0</v>
      </c>
      <c r="M50" s="21" t="s">
        <v>82</v>
      </c>
      <c r="N50" s="21" t="s">
        <v>476</v>
      </c>
      <c r="O50" s="21" t="s">
        <v>563</v>
      </c>
    </row>
    <row r="51" spans="1:15">
      <c r="A51" s="21" t="s">
        <v>86</v>
      </c>
      <c r="B51" s="21">
        <v>2</v>
      </c>
      <c r="C51" s="21" t="s">
        <v>516</v>
      </c>
      <c r="D51" s="21">
        <v>1</v>
      </c>
      <c r="E51" s="21"/>
      <c r="F51" s="21" t="s">
        <v>48</v>
      </c>
      <c r="G51" s="21"/>
      <c r="H51" s="21"/>
      <c r="I51" s="21"/>
      <c r="J51" s="21" t="s">
        <v>517</v>
      </c>
      <c r="K51" s="21" t="s">
        <v>516</v>
      </c>
      <c r="L51" s="21">
        <v>12.657999999999999</v>
      </c>
      <c r="M51" s="21" t="s">
        <v>82</v>
      </c>
      <c r="N51" s="21" t="s">
        <v>476</v>
      </c>
      <c r="O51" s="21" t="s">
        <v>563</v>
      </c>
    </row>
    <row r="52" spans="1:15">
      <c r="A52" s="21" t="s">
        <v>90</v>
      </c>
      <c r="B52" s="21">
        <v>1</v>
      </c>
      <c r="C52" s="21">
        <v>2822300</v>
      </c>
      <c r="D52" s="21">
        <v>1</v>
      </c>
      <c r="E52" s="21">
        <v>822</v>
      </c>
      <c r="F52" s="21" t="s">
        <v>91</v>
      </c>
      <c r="G52" s="21">
        <v>822</v>
      </c>
      <c r="H52" s="21" t="s">
        <v>91</v>
      </c>
      <c r="I52" s="21">
        <v>0</v>
      </c>
      <c r="J52" s="21" t="s">
        <v>332</v>
      </c>
      <c r="K52" s="21" t="s">
        <v>516</v>
      </c>
      <c r="L52" s="21">
        <v>0</v>
      </c>
      <c r="M52" s="21" t="s">
        <v>82</v>
      </c>
      <c r="N52" s="21" t="s">
        <v>476</v>
      </c>
      <c r="O52" s="21" t="s">
        <v>563</v>
      </c>
    </row>
    <row r="53" spans="1:15">
      <c r="A53" s="21" t="s">
        <v>79</v>
      </c>
      <c r="B53" s="21">
        <v>1</v>
      </c>
      <c r="C53" s="21" t="s">
        <v>478</v>
      </c>
      <c r="D53" s="21">
        <v>1</v>
      </c>
      <c r="E53" s="21"/>
      <c r="F53" s="21" t="s">
        <v>48</v>
      </c>
      <c r="G53" s="21"/>
      <c r="H53" s="21"/>
      <c r="I53" s="21"/>
      <c r="J53" s="21" t="s">
        <v>479</v>
      </c>
      <c r="K53" s="21" t="s">
        <v>478</v>
      </c>
      <c r="L53" s="21">
        <v>86.938999999999993</v>
      </c>
      <c r="M53" s="21" t="s">
        <v>82</v>
      </c>
      <c r="N53" s="21" t="s">
        <v>568</v>
      </c>
      <c r="O53" s="21" t="s">
        <v>567</v>
      </c>
    </row>
    <row r="54" spans="1:15">
      <c r="A54" s="21" t="s">
        <v>86</v>
      </c>
      <c r="B54" s="21">
        <v>1</v>
      </c>
      <c r="C54" s="21" t="s">
        <v>480</v>
      </c>
      <c r="D54" s="21">
        <v>1</v>
      </c>
      <c r="E54" s="21"/>
      <c r="F54" s="21" t="s">
        <v>48</v>
      </c>
      <c r="G54" s="21"/>
      <c r="H54" s="21"/>
      <c r="I54" s="21"/>
      <c r="J54" s="21" t="s">
        <v>481</v>
      </c>
      <c r="K54" s="21" t="s">
        <v>480</v>
      </c>
      <c r="L54" s="21">
        <v>56.3</v>
      </c>
      <c r="M54" s="21" t="s">
        <v>82</v>
      </c>
      <c r="N54" s="21" t="s">
        <v>568</v>
      </c>
      <c r="O54" s="21" t="s">
        <v>567</v>
      </c>
    </row>
    <row r="55" spans="1:15">
      <c r="A55" s="21" t="s">
        <v>90</v>
      </c>
      <c r="B55" s="21">
        <v>1</v>
      </c>
      <c r="C55" s="21">
        <v>299200</v>
      </c>
      <c r="D55" s="21">
        <v>1</v>
      </c>
      <c r="E55" s="21">
        <v>590</v>
      </c>
      <c r="F55" s="21" t="s">
        <v>91</v>
      </c>
      <c r="G55" s="21">
        <v>590</v>
      </c>
      <c r="H55" s="21" t="s">
        <v>91</v>
      </c>
      <c r="I55" s="21">
        <v>0</v>
      </c>
      <c r="J55" s="21" t="s">
        <v>329</v>
      </c>
      <c r="K55" s="21" t="s">
        <v>480</v>
      </c>
      <c r="L55" s="21">
        <v>0</v>
      </c>
      <c r="M55" s="21" t="s">
        <v>82</v>
      </c>
      <c r="N55" s="21" t="s">
        <v>568</v>
      </c>
      <c r="O55" s="21" t="s">
        <v>567</v>
      </c>
    </row>
    <row r="56" spans="1:15">
      <c r="A56" s="21" t="s">
        <v>90</v>
      </c>
      <c r="B56" s="21">
        <v>2</v>
      </c>
      <c r="C56" s="21">
        <v>3741900</v>
      </c>
      <c r="D56" s="21">
        <v>2</v>
      </c>
      <c r="E56" s="21">
        <v>0.19400000000000001</v>
      </c>
      <c r="F56" s="21" t="s">
        <v>99</v>
      </c>
      <c r="G56" s="21">
        <v>311</v>
      </c>
      <c r="H56" s="21" t="s">
        <v>91</v>
      </c>
      <c r="I56" s="21">
        <v>311</v>
      </c>
      <c r="J56" s="21" t="s">
        <v>100</v>
      </c>
      <c r="K56" s="21" t="s">
        <v>480</v>
      </c>
      <c r="L56" s="21">
        <v>0</v>
      </c>
      <c r="M56" s="21" t="s">
        <v>82</v>
      </c>
      <c r="N56" s="21" t="s">
        <v>568</v>
      </c>
      <c r="O56" s="21" t="s">
        <v>567</v>
      </c>
    </row>
    <row r="57" spans="1:15">
      <c r="A57" s="21" t="s">
        <v>90</v>
      </c>
      <c r="B57" s="21">
        <v>3</v>
      </c>
      <c r="C57" s="21">
        <v>3740200</v>
      </c>
      <c r="D57" s="21">
        <v>2</v>
      </c>
      <c r="E57" s="21">
        <v>2E-3</v>
      </c>
      <c r="F57" s="21" t="s">
        <v>99</v>
      </c>
      <c r="G57" s="21">
        <v>52</v>
      </c>
      <c r="H57" s="21" t="s">
        <v>91</v>
      </c>
      <c r="I57" s="21">
        <v>21</v>
      </c>
      <c r="J57" s="21" t="s">
        <v>105</v>
      </c>
      <c r="K57" s="21" t="s">
        <v>480</v>
      </c>
      <c r="L57" s="21">
        <v>0</v>
      </c>
      <c r="M57" s="21" t="s">
        <v>82</v>
      </c>
      <c r="N57" s="21" t="s">
        <v>568</v>
      </c>
      <c r="O57" s="21" t="s">
        <v>567</v>
      </c>
    </row>
    <row r="58" spans="1:15">
      <c r="A58" s="21" t="s">
        <v>86</v>
      </c>
      <c r="B58" s="21">
        <v>2</v>
      </c>
      <c r="C58" s="21" t="s">
        <v>482</v>
      </c>
      <c r="D58" s="21">
        <v>1</v>
      </c>
      <c r="E58" s="21"/>
      <c r="F58" s="21" t="s">
        <v>48</v>
      </c>
      <c r="G58" s="21"/>
      <c r="H58" s="21"/>
      <c r="I58" s="21"/>
      <c r="J58" s="21" t="s">
        <v>483</v>
      </c>
      <c r="K58" s="21" t="s">
        <v>482</v>
      </c>
      <c r="L58" s="21">
        <v>22.859000000000002</v>
      </c>
      <c r="M58" s="21" t="s">
        <v>82</v>
      </c>
      <c r="N58" s="21" t="s">
        <v>568</v>
      </c>
      <c r="O58" s="21" t="s">
        <v>567</v>
      </c>
    </row>
    <row r="59" spans="1:15">
      <c r="A59" s="21" t="s">
        <v>90</v>
      </c>
      <c r="B59" s="21">
        <v>1</v>
      </c>
      <c r="C59" s="21">
        <v>2822400</v>
      </c>
      <c r="D59" s="21">
        <v>1</v>
      </c>
      <c r="E59" s="21">
        <v>1112</v>
      </c>
      <c r="F59" s="21" t="s">
        <v>91</v>
      </c>
      <c r="G59" s="21">
        <v>1112</v>
      </c>
      <c r="H59" s="21" t="s">
        <v>91</v>
      </c>
      <c r="I59" s="21">
        <v>0</v>
      </c>
      <c r="J59" s="21" t="s">
        <v>484</v>
      </c>
      <c r="K59" s="21" t="s">
        <v>482</v>
      </c>
      <c r="L59" s="21">
        <v>0</v>
      </c>
      <c r="M59" s="21" t="s">
        <v>82</v>
      </c>
      <c r="N59" s="21" t="s">
        <v>568</v>
      </c>
      <c r="O59" s="21" t="s">
        <v>567</v>
      </c>
    </row>
    <row r="60" spans="1:15">
      <c r="A60" s="21" t="s">
        <v>86</v>
      </c>
      <c r="B60" s="21">
        <v>5</v>
      </c>
      <c r="C60" s="21" t="s">
        <v>489</v>
      </c>
      <c r="D60" s="21">
        <v>1</v>
      </c>
      <c r="E60" s="21"/>
      <c r="F60" s="21" t="s">
        <v>48</v>
      </c>
      <c r="G60" s="21"/>
      <c r="H60" s="21"/>
      <c r="I60" s="21"/>
      <c r="J60" s="21" t="s">
        <v>490</v>
      </c>
      <c r="K60" s="21" t="s">
        <v>489</v>
      </c>
      <c r="L60" s="21">
        <v>0.1</v>
      </c>
      <c r="M60" s="21" t="s">
        <v>82</v>
      </c>
      <c r="N60" s="21" t="s">
        <v>568</v>
      </c>
      <c r="O60" s="21" t="s">
        <v>567</v>
      </c>
    </row>
    <row r="61" spans="1:15">
      <c r="A61" s="21" t="s">
        <v>90</v>
      </c>
      <c r="B61" s="21">
        <v>1</v>
      </c>
      <c r="C61" s="21">
        <v>3695600</v>
      </c>
      <c r="D61" s="21">
        <v>1</v>
      </c>
      <c r="E61" s="21">
        <v>15.8</v>
      </c>
      <c r="F61" s="21" t="s">
        <v>91</v>
      </c>
      <c r="G61" s="21">
        <v>15.8</v>
      </c>
      <c r="H61" s="21" t="s">
        <v>91</v>
      </c>
      <c r="I61" s="21">
        <v>0</v>
      </c>
      <c r="J61" s="21" t="s">
        <v>491</v>
      </c>
      <c r="K61" s="21" t="s">
        <v>489</v>
      </c>
      <c r="L61" s="21">
        <v>0</v>
      </c>
      <c r="M61" s="21" t="s">
        <v>82</v>
      </c>
      <c r="N61" s="21" t="s">
        <v>568</v>
      </c>
      <c r="O61" s="21" t="s">
        <v>567</v>
      </c>
    </row>
    <row r="62" spans="1:15">
      <c r="A62" s="21" t="s">
        <v>86</v>
      </c>
      <c r="B62" s="21">
        <v>101</v>
      </c>
      <c r="C62" s="21">
        <v>1859900</v>
      </c>
      <c r="D62" s="21">
        <v>1</v>
      </c>
      <c r="E62" s="21"/>
      <c r="F62" s="21" t="s">
        <v>48</v>
      </c>
      <c r="G62" s="21" t="s">
        <v>492</v>
      </c>
      <c r="H62" s="21"/>
      <c r="I62" s="21"/>
      <c r="J62" s="21" t="s">
        <v>493</v>
      </c>
      <c r="K62" s="21" t="s">
        <v>489</v>
      </c>
      <c r="L62" s="21">
        <v>0</v>
      </c>
      <c r="M62" s="21" t="s">
        <v>82</v>
      </c>
      <c r="N62" s="21" t="s">
        <v>568</v>
      </c>
      <c r="O62" s="21" t="s">
        <v>567</v>
      </c>
    </row>
    <row r="63" spans="1:15">
      <c r="A63" s="21" t="s">
        <v>86</v>
      </c>
      <c r="B63" s="21">
        <v>102</v>
      </c>
      <c r="C63" s="21">
        <v>1550600</v>
      </c>
      <c r="D63" s="21">
        <v>1</v>
      </c>
      <c r="E63" s="21"/>
      <c r="F63" s="21" t="s">
        <v>48</v>
      </c>
      <c r="G63" s="21" t="s">
        <v>494</v>
      </c>
      <c r="H63" s="21"/>
      <c r="I63" s="21"/>
      <c r="J63" s="21" t="s">
        <v>495</v>
      </c>
      <c r="K63" s="21" t="s">
        <v>489</v>
      </c>
      <c r="L63" s="21">
        <v>0.08</v>
      </c>
      <c r="M63" s="21" t="s">
        <v>82</v>
      </c>
      <c r="N63" s="21" t="s">
        <v>568</v>
      </c>
      <c r="O63" s="21" t="s">
        <v>567</v>
      </c>
    </row>
    <row r="64" spans="1:15">
      <c r="A64" s="21" t="s">
        <v>79</v>
      </c>
      <c r="B64" s="21">
        <v>1</v>
      </c>
      <c r="C64" s="21" t="s">
        <v>510</v>
      </c>
      <c r="D64" s="21">
        <v>1</v>
      </c>
      <c r="E64" s="21"/>
      <c r="F64" s="21" t="s">
        <v>48</v>
      </c>
      <c r="G64" s="21"/>
      <c r="H64" s="21"/>
      <c r="I64" s="21"/>
      <c r="J64" s="21" t="s">
        <v>511</v>
      </c>
      <c r="K64" s="21" t="s">
        <v>510</v>
      </c>
      <c r="L64" s="21">
        <v>71.087000000000003</v>
      </c>
      <c r="M64" s="21" t="s">
        <v>82</v>
      </c>
      <c r="N64" s="21" t="s">
        <v>568</v>
      </c>
      <c r="O64" s="21" t="s">
        <v>567</v>
      </c>
    </row>
    <row r="65" spans="1:15">
      <c r="A65" s="21" t="s">
        <v>86</v>
      </c>
      <c r="B65" s="21">
        <v>1</v>
      </c>
      <c r="C65" s="21" t="s">
        <v>512</v>
      </c>
      <c r="D65" s="21">
        <v>1</v>
      </c>
      <c r="E65" s="21"/>
      <c r="F65" s="21" t="s">
        <v>48</v>
      </c>
      <c r="G65" s="21"/>
      <c r="H65" s="21"/>
      <c r="I65" s="21"/>
      <c r="J65" s="21" t="s">
        <v>513</v>
      </c>
      <c r="K65" s="21" t="s">
        <v>512</v>
      </c>
      <c r="L65" s="21">
        <v>56.829000000000001</v>
      </c>
      <c r="M65" s="21" t="s">
        <v>82</v>
      </c>
      <c r="N65" s="21" t="s">
        <v>568</v>
      </c>
      <c r="O65" s="21" t="s">
        <v>567</v>
      </c>
    </row>
    <row r="66" spans="1:15">
      <c r="A66" s="21" t="s">
        <v>90</v>
      </c>
      <c r="B66" s="21">
        <v>1</v>
      </c>
      <c r="C66" s="21">
        <v>2816500</v>
      </c>
      <c r="D66" s="21">
        <v>1</v>
      </c>
      <c r="E66" s="21">
        <v>590</v>
      </c>
      <c r="F66" s="21" t="s">
        <v>91</v>
      </c>
      <c r="G66" s="21">
        <v>590</v>
      </c>
      <c r="H66" s="21" t="s">
        <v>91</v>
      </c>
      <c r="I66" s="21">
        <v>0</v>
      </c>
      <c r="J66" s="21" t="s">
        <v>514</v>
      </c>
      <c r="K66" s="21" t="s">
        <v>512</v>
      </c>
      <c r="L66" s="21">
        <v>0</v>
      </c>
      <c r="M66" s="21" t="s">
        <v>82</v>
      </c>
      <c r="N66" s="21" t="s">
        <v>568</v>
      </c>
      <c r="O66" s="21" t="s">
        <v>567</v>
      </c>
    </row>
    <row r="67" spans="1:15">
      <c r="A67" s="21" t="s">
        <v>90</v>
      </c>
      <c r="B67" s="21">
        <v>2</v>
      </c>
      <c r="C67" s="21">
        <v>7500</v>
      </c>
      <c r="D67" s="21">
        <v>2</v>
      </c>
      <c r="E67" s="21">
        <v>0.19400000000000001</v>
      </c>
      <c r="F67" s="21" t="s">
        <v>99</v>
      </c>
      <c r="G67" s="21">
        <v>311</v>
      </c>
      <c r="H67" s="21" t="s">
        <v>91</v>
      </c>
      <c r="I67" s="21">
        <v>311</v>
      </c>
      <c r="J67" s="21" t="s">
        <v>515</v>
      </c>
      <c r="K67" s="21" t="s">
        <v>512</v>
      </c>
      <c r="L67" s="21">
        <v>0</v>
      </c>
      <c r="M67" s="21" t="s">
        <v>82</v>
      </c>
      <c r="N67" s="21" t="s">
        <v>568</v>
      </c>
      <c r="O67" s="21" t="s">
        <v>567</v>
      </c>
    </row>
    <row r="68" spans="1:15">
      <c r="A68" s="21" t="s">
        <v>86</v>
      </c>
      <c r="B68" s="21">
        <v>2</v>
      </c>
      <c r="C68" s="21" t="s">
        <v>516</v>
      </c>
      <c r="D68" s="21">
        <v>1</v>
      </c>
      <c r="E68" s="21"/>
      <c r="F68" s="21" t="s">
        <v>48</v>
      </c>
      <c r="G68" s="21"/>
      <c r="H68" s="21"/>
      <c r="I68" s="21"/>
      <c r="J68" s="21" t="s">
        <v>517</v>
      </c>
      <c r="K68" s="21" t="s">
        <v>516</v>
      </c>
      <c r="L68" s="21">
        <v>12.657999999999999</v>
      </c>
      <c r="M68" s="21" t="s">
        <v>82</v>
      </c>
      <c r="N68" s="21" t="s">
        <v>568</v>
      </c>
      <c r="O68" s="21" t="s">
        <v>567</v>
      </c>
    </row>
    <row r="69" spans="1:15">
      <c r="A69" s="21" t="s">
        <v>90</v>
      </c>
      <c r="B69" s="21">
        <v>1</v>
      </c>
      <c r="C69" s="21">
        <v>2822300</v>
      </c>
      <c r="D69" s="21">
        <v>1</v>
      </c>
      <c r="E69" s="21">
        <v>822</v>
      </c>
      <c r="F69" s="21" t="s">
        <v>91</v>
      </c>
      <c r="G69" s="21">
        <v>822</v>
      </c>
      <c r="H69" s="21" t="s">
        <v>91</v>
      </c>
      <c r="I69" s="21">
        <v>0</v>
      </c>
      <c r="J69" s="21" t="s">
        <v>332</v>
      </c>
      <c r="K69" s="21" t="s">
        <v>516</v>
      </c>
      <c r="L69" s="21">
        <v>0</v>
      </c>
      <c r="M69" s="21" t="s">
        <v>82</v>
      </c>
      <c r="N69" s="21" t="s">
        <v>568</v>
      </c>
      <c r="O69" s="21" t="s">
        <v>567</v>
      </c>
    </row>
    <row r="70" spans="1:15">
      <c r="A70" s="21" t="s">
        <v>79</v>
      </c>
      <c r="B70" s="21">
        <v>1</v>
      </c>
      <c r="C70" s="21" t="s">
        <v>478</v>
      </c>
      <c r="D70" s="21">
        <v>1</v>
      </c>
      <c r="E70" s="21"/>
      <c r="F70" s="21" t="s">
        <v>48</v>
      </c>
      <c r="G70" s="21"/>
      <c r="H70" s="21"/>
      <c r="I70" s="21"/>
      <c r="J70" s="21" t="s">
        <v>479</v>
      </c>
      <c r="K70" s="21" t="s">
        <v>478</v>
      </c>
      <c r="L70" s="21">
        <v>86.938999999999993</v>
      </c>
      <c r="M70" s="21" t="s">
        <v>82</v>
      </c>
      <c r="N70" s="21" t="s">
        <v>476</v>
      </c>
      <c r="O70" s="21" t="s">
        <v>603</v>
      </c>
    </row>
    <row r="71" spans="1:15">
      <c r="A71" s="21" t="s">
        <v>86</v>
      </c>
      <c r="B71" s="21">
        <v>1</v>
      </c>
      <c r="C71" s="21" t="s">
        <v>480</v>
      </c>
      <c r="D71" s="21">
        <v>1</v>
      </c>
      <c r="E71" s="21"/>
      <c r="F71" s="21" t="s">
        <v>48</v>
      </c>
      <c r="G71" s="21"/>
      <c r="H71" s="21"/>
      <c r="I71" s="21"/>
      <c r="J71" s="21" t="s">
        <v>481</v>
      </c>
      <c r="K71" s="21" t="s">
        <v>480</v>
      </c>
      <c r="L71" s="21">
        <v>56.3</v>
      </c>
      <c r="M71" s="21" t="s">
        <v>82</v>
      </c>
      <c r="N71" s="21" t="s">
        <v>476</v>
      </c>
      <c r="O71" s="21" t="s">
        <v>603</v>
      </c>
    </row>
    <row r="72" spans="1:15">
      <c r="A72" s="21" t="s">
        <v>90</v>
      </c>
      <c r="B72" s="21">
        <v>1</v>
      </c>
      <c r="C72" s="21">
        <v>299200</v>
      </c>
      <c r="D72" s="21">
        <v>1</v>
      </c>
      <c r="E72" s="21">
        <v>590</v>
      </c>
      <c r="F72" s="21" t="s">
        <v>91</v>
      </c>
      <c r="G72" s="21">
        <v>590</v>
      </c>
      <c r="H72" s="21" t="s">
        <v>91</v>
      </c>
      <c r="I72" s="21">
        <v>0</v>
      </c>
      <c r="J72" s="21" t="s">
        <v>329</v>
      </c>
      <c r="K72" s="21" t="s">
        <v>480</v>
      </c>
      <c r="L72" s="21">
        <v>0</v>
      </c>
      <c r="M72" s="21" t="s">
        <v>82</v>
      </c>
      <c r="N72" s="21" t="s">
        <v>476</v>
      </c>
      <c r="O72" s="21" t="s">
        <v>603</v>
      </c>
    </row>
    <row r="73" spans="1:15">
      <c r="A73" s="21" t="s">
        <v>90</v>
      </c>
      <c r="B73" s="21">
        <v>2</v>
      </c>
      <c r="C73" s="21">
        <v>3741900</v>
      </c>
      <c r="D73" s="21">
        <v>2</v>
      </c>
      <c r="E73" s="21">
        <v>0.19400000000000001</v>
      </c>
      <c r="F73" s="21" t="s">
        <v>99</v>
      </c>
      <c r="G73" s="21">
        <v>311</v>
      </c>
      <c r="H73" s="21" t="s">
        <v>91</v>
      </c>
      <c r="I73" s="21">
        <v>311</v>
      </c>
      <c r="J73" s="21" t="s">
        <v>100</v>
      </c>
      <c r="K73" s="21" t="s">
        <v>480</v>
      </c>
      <c r="L73" s="21">
        <v>0</v>
      </c>
      <c r="M73" s="21" t="s">
        <v>82</v>
      </c>
      <c r="N73" s="21" t="s">
        <v>476</v>
      </c>
      <c r="O73" s="21" t="s">
        <v>603</v>
      </c>
    </row>
    <row r="74" spans="1:15">
      <c r="A74" s="21" t="s">
        <v>90</v>
      </c>
      <c r="B74" s="21">
        <v>3</v>
      </c>
      <c r="C74" s="21">
        <v>3740200</v>
      </c>
      <c r="D74" s="21">
        <v>2</v>
      </c>
      <c r="E74" s="21">
        <v>2E-3</v>
      </c>
      <c r="F74" s="21" t="s">
        <v>99</v>
      </c>
      <c r="G74" s="21">
        <v>52</v>
      </c>
      <c r="H74" s="21" t="s">
        <v>91</v>
      </c>
      <c r="I74" s="21">
        <v>21</v>
      </c>
      <c r="J74" s="21" t="s">
        <v>105</v>
      </c>
      <c r="K74" s="21" t="s">
        <v>480</v>
      </c>
      <c r="L74" s="21">
        <v>0</v>
      </c>
      <c r="M74" s="21" t="s">
        <v>82</v>
      </c>
      <c r="N74" s="21" t="s">
        <v>476</v>
      </c>
      <c r="O74" s="21" t="s">
        <v>603</v>
      </c>
    </row>
    <row r="75" spans="1:15">
      <c r="A75" s="21" t="s">
        <v>86</v>
      </c>
      <c r="B75" s="21">
        <v>2</v>
      </c>
      <c r="C75" s="21" t="s">
        <v>482</v>
      </c>
      <c r="D75" s="21">
        <v>1</v>
      </c>
      <c r="E75" s="21"/>
      <c r="F75" s="21" t="s">
        <v>48</v>
      </c>
      <c r="G75" s="21"/>
      <c r="H75" s="21"/>
      <c r="I75" s="21"/>
      <c r="J75" s="21" t="s">
        <v>483</v>
      </c>
      <c r="K75" s="21" t="s">
        <v>482</v>
      </c>
      <c r="L75" s="21">
        <v>22.859000000000002</v>
      </c>
      <c r="M75" s="21" t="s">
        <v>82</v>
      </c>
      <c r="N75" s="21" t="s">
        <v>476</v>
      </c>
      <c r="O75" s="21" t="s">
        <v>603</v>
      </c>
    </row>
    <row r="76" spans="1:15">
      <c r="A76" s="21" t="s">
        <v>90</v>
      </c>
      <c r="B76" s="21">
        <v>1</v>
      </c>
      <c r="C76" s="21">
        <v>2822400</v>
      </c>
      <c r="D76" s="21">
        <v>1</v>
      </c>
      <c r="E76" s="21">
        <v>1112</v>
      </c>
      <c r="F76" s="21" t="s">
        <v>91</v>
      </c>
      <c r="G76" s="21">
        <v>1112</v>
      </c>
      <c r="H76" s="21" t="s">
        <v>91</v>
      </c>
      <c r="I76" s="21">
        <v>0</v>
      </c>
      <c r="J76" s="21" t="s">
        <v>484</v>
      </c>
      <c r="K76" s="21" t="s">
        <v>482</v>
      </c>
      <c r="L76" s="21">
        <v>0</v>
      </c>
      <c r="M76" s="21" t="s">
        <v>82</v>
      </c>
      <c r="N76" s="21" t="s">
        <v>476</v>
      </c>
      <c r="O76" s="21" t="s">
        <v>603</v>
      </c>
    </row>
    <row r="77" spans="1:15">
      <c r="A77" s="21" t="s">
        <v>86</v>
      </c>
      <c r="B77" s="21">
        <v>5</v>
      </c>
      <c r="C77" s="21" t="s">
        <v>489</v>
      </c>
      <c r="D77" s="21">
        <v>1</v>
      </c>
      <c r="E77" s="21"/>
      <c r="F77" s="21" t="s">
        <v>48</v>
      </c>
      <c r="G77" s="21"/>
      <c r="H77" s="21"/>
      <c r="I77" s="21"/>
      <c r="J77" s="21" t="s">
        <v>490</v>
      </c>
      <c r="K77" s="21" t="s">
        <v>489</v>
      </c>
      <c r="L77" s="21">
        <v>0.1</v>
      </c>
      <c r="M77" s="21" t="s">
        <v>82</v>
      </c>
      <c r="N77" s="21" t="s">
        <v>476</v>
      </c>
      <c r="O77" s="21" t="s">
        <v>603</v>
      </c>
    </row>
    <row r="78" spans="1:15">
      <c r="A78" s="21" t="s">
        <v>90</v>
      </c>
      <c r="B78" s="21">
        <v>1</v>
      </c>
      <c r="C78" s="21">
        <v>3695600</v>
      </c>
      <c r="D78" s="21">
        <v>1</v>
      </c>
      <c r="E78" s="21">
        <v>15.8</v>
      </c>
      <c r="F78" s="21" t="s">
        <v>91</v>
      </c>
      <c r="G78" s="21">
        <v>15.8</v>
      </c>
      <c r="H78" s="21" t="s">
        <v>91</v>
      </c>
      <c r="I78" s="21">
        <v>0</v>
      </c>
      <c r="J78" s="21" t="s">
        <v>491</v>
      </c>
      <c r="K78" s="21" t="s">
        <v>489</v>
      </c>
      <c r="L78" s="21">
        <v>0</v>
      </c>
      <c r="M78" s="21" t="s">
        <v>82</v>
      </c>
      <c r="N78" s="21" t="s">
        <v>476</v>
      </c>
      <c r="O78" s="21" t="s">
        <v>603</v>
      </c>
    </row>
    <row r="79" spans="1:15">
      <c r="A79" s="21" t="s">
        <v>86</v>
      </c>
      <c r="B79" s="21">
        <v>101</v>
      </c>
      <c r="C79" s="21">
        <v>1859900</v>
      </c>
      <c r="D79" s="21">
        <v>1</v>
      </c>
      <c r="E79" s="21"/>
      <c r="F79" s="21" t="s">
        <v>48</v>
      </c>
      <c r="G79" s="21" t="s">
        <v>492</v>
      </c>
      <c r="H79" s="21"/>
      <c r="I79" s="21"/>
      <c r="J79" s="21" t="s">
        <v>493</v>
      </c>
      <c r="K79" s="21" t="s">
        <v>489</v>
      </c>
      <c r="L79" s="21">
        <v>0</v>
      </c>
      <c r="M79" s="21" t="s">
        <v>82</v>
      </c>
      <c r="N79" s="21" t="s">
        <v>476</v>
      </c>
      <c r="O79" s="21" t="s">
        <v>603</v>
      </c>
    </row>
    <row r="80" spans="1:15">
      <c r="A80" s="21" t="s">
        <v>86</v>
      </c>
      <c r="B80" s="21">
        <v>102</v>
      </c>
      <c r="C80" s="21">
        <v>1550600</v>
      </c>
      <c r="D80" s="21">
        <v>1</v>
      </c>
      <c r="E80" s="21"/>
      <c r="F80" s="21" t="s">
        <v>48</v>
      </c>
      <c r="G80" s="21" t="s">
        <v>494</v>
      </c>
      <c r="H80" s="21"/>
      <c r="I80" s="21"/>
      <c r="J80" s="21" t="s">
        <v>495</v>
      </c>
      <c r="K80" s="21" t="s">
        <v>489</v>
      </c>
      <c r="L80" s="21">
        <v>0.08</v>
      </c>
      <c r="M80" s="21" t="s">
        <v>82</v>
      </c>
      <c r="N80" s="21" t="s">
        <v>476</v>
      </c>
      <c r="O80" s="21" t="s">
        <v>603</v>
      </c>
    </row>
    <row r="81" spans="1:15">
      <c r="A81" s="21" t="s">
        <v>79</v>
      </c>
      <c r="B81" s="21">
        <v>1</v>
      </c>
      <c r="C81" s="21" t="s">
        <v>510</v>
      </c>
      <c r="D81" s="21">
        <v>1</v>
      </c>
      <c r="E81" s="21"/>
      <c r="F81" s="21" t="s">
        <v>48</v>
      </c>
      <c r="G81" s="21"/>
      <c r="H81" s="21"/>
      <c r="I81" s="21"/>
      <c r="J81" s="21" t="s">
        <v>511</v>
      </c>
      <c r="K81" s="21" t="s">
        <v>510</v>
      </c>
      <c r="L81" s="21">
        <v>71.087000000000003</v>
      </c>
      <c r="M81" s="21" t="s">
        <v>82</v>
      </c>
      <c r="N81" s="21" t="s">
        <v>476</v>
      </c>
      <c r="O81" s="21" t="s">
        <v>603</v>
      </c>
    </row>
    <row r="82" spans="1:15">
      <c r="A82" s="21" t="s">
        <v>86</v>
      </c>
      <c r="B82" s="21">
        <v>1</v>
      </c>
      <c r="C82" s="21" t="s">
        <v>512</v>
      </c>
      <c r="D82" s="21">
        <v>1</v>
      </c>
      <c r="E82" s="21"/>
      <c r="F82" s="21" t="s">
        <v>48</v>
      </c>
      <c r="G82" s="21"/>
      <c r="H82" s="21"/>
      <c r="I82" s="21"/>
      <c r="J82" s="21" t="s">
        <v>513</v>
      </c>
      <c r="K82" s="21" t="s">
        <v>512</v>
      </c>
      <c r="L82" s="21">
        <v>56.829000000000001</v>
      </c>
      <c r="M82" s="21" t="s">
        <v>82</v>
      </c>
      <c r="N82" s="21" t="s">
        <v>476</v>
      </c>
      <c r="O82" s="21" t="s">
        <v>603</v>
      </c>
    </row>
    <row r="83" spans="1:15">
      <c r="A83" s="21" t="s">
        <v>90</v>
      </c>
      <c r="B83" s="21">
        <v>1</v>
      </c>
      <c r="C83" s="21">
        <v>2816500</v>
      </c>
      <c r="D83" s="21">
        <v>1</v>
      </c>
      <c r="E83" s="21">
        <v>590</v>
      </c>
      <c r="F83" s="21" t="s">
        <v>91</v>
      </c>
      <c r="G83" s="21">
        <v>590</v>
      </c>
      <c r="H83" s="21" t="s">
        <v>91</v>
      </c>
      <c r="I83" s="21">
        <v>0</v>
      </c>
      <c r="J83" s="21" t="s">
        <v>514</v>
      </c>
      <c r="K83" s="21" t="s">
        <v>512</v>
      </c>
      <c r="L83" s="21">
        <v>0</v>
      </c>
      <c r="M83" s="21" t="s">
        <v>82</v>
      </c>
      <c r="N83" s="21" t="s">
        <v>476</v>
      </c>
      <c r="O83" s="21" t="s">
        <v>603</v>
      </c>
    </row>
    <row r="84" spans="1:15">
      <c r="A84" s="21" t="s">
        <v>90</v>
      </c>
      <c r="B84" s="21">
        <v>2</v>
      </c>
      <c r="C84" s="21">
        <v>7500</v>
      </c>
      <c r="D84" s="21">
        <v>2</v>
      </c>
      <c r="E84" s="21">
        <v>0.19400000000000001</v>
      </c>
      <c r="F84" s="21" t="s">
        <v>99</v>
      </c>
      <c r="G84" s="21">
        <v>311</v>
      </c>
      <c r="H84" s="21" t="s">
        <v>91</v>
      </c>
      <c r="I84" s="21">
        <v>311</v>
      </c>
      <c r="J84" s="21" t="s">
        <v>515</v>
      </c>
      <c r="K84" s="21" t="s">
        <v>512</v>
      </c>
      <c r="L84" s="21">
        <v>0</v>
      </c>
      <c r="M84" s="21" t="s">
        <v>82</v>
      </c>
      <c r="N84" s="21" t="s">
        <v>476</v>
      </c>
      <c r="O84" s="21" t="s">
        <v>603</v>
      </c>
    </row>
    <row r="85" spans="1:15">
      <c r="A85" s="21" t="s">
        <v>86</v>
      </c>
      <c r="B85" s="21">
        <v>2</v>
      </c>
      <c r="C85" s="21" t="s">
        <v>516</v>
      </c>
      <c r="D85" s="21">
        <v>1</v>
      </c>
      <c r="E85" s="21"/>
      <c r="F85" s="21" t="s">
        <v>48</v>
      </c>
      <c r="G85" s="21"/>
      <c r="H85" s="21"/>
      <c r="I85" s="21"/>
      <c r="J85" s="21" t="s">
        <v>517</v>
      </c>
      <c r="K85" s="21" t="s">
        <v>516</v>
      </c>
      <c r="L85" s="21">
        <v>12.657999999999999</v>
      </c>
      <c r="M85" s="21" t="s">
        <v>82</v>
      </c>
      <c r="N85" s="21" t="s">
        <v>476</v>
      </c>
      <c r="O85" s="21" t="s">
        <v>603</v>
      </c>
    </row>
    <row r="86" spans="1:15" ht="15.75" customHeight="1" thickBot="1">
      <c r="A86" s="21" t="s">
        <v>90</v>
      </c>
      <c r="B86" s="21">
        <v>1</v>
      </c>
      <c r="C86" s="21">
        <v>2822300</v>
      </c>
      <c r="D86" s="21">
        <v>1</v>
      </c>
      <c r="E86" s="21">
        <v>822</v>
      </c>
      <c r="F86" s="21" t="s">
        <v>91</v>
      </c>
      <c r="G86" s="21">
        <v>822</v>
      </c>
      <c r="H86" s="21" t="s">
        <v>91</v>
      </c>
      <c r="I86" s="21">
        <v>0</v>
      </c>
      <c r="J86" s="21" t="s">
        <v>332</v>
      </c>
      <c r="K86" s="21" t="s">
        <v>516</v>
      </c>
      <c r="L86" s="21">
        <v>0</v>
      </c>
      <c r="M86" s="21" t="s">
        <v>82</v>
      </c>
      <c r="N86" s="21" t="s">
        <v>476</v>
      </c>
      <c r="O86" s="21" t="s">
        <v>603</v>
      </c>
    </row>
    <row r="87" spans="1:15" ht="15.75" customHeight="1" thickBot="1">
      <c r="A87" s="21" t="s">
        <v>79</v>
      </c>
      <c r="B87" s="21">
        <v>1</v>
      </c>
      <c r="C87" s="21" t="s">
        <v>612</v>
      </c>
      <c r="D87" s="21">
        <v>1</v>
      </c>
      <c r="E87" s="21"/>
      <c r="F87" s="21" t="s">
        <v>48</v>
      </c>
      <c r="G87" s="21"/>
      <c r="H87" s="21"/>
      <c r="I87" s="21"/>
      <c r="J87" s="21" t="s">
        <v>613</v>
      </c>
      <c r="K87" s="21" t="s">
        <v>612</v>
      </c>
      <c r="L87" s="21">
        <v>79.319999999999993</v>
      </c>
      <c r="M87" s="21" t="s">
        <v>82</v>
      </c>
      <c r="N87" s="21" t="s">
        <v>608</v>
      </c>
      <c r="O87" s="21" t="s">
        <v>607</v>
      </c>
    </row>
    <row r="88" spans="1:15" ht="15.75" customHeight="1" thickBot="1">
      <c r="A88" s="21" t="s">
        <v>86</v>
      </c>
      <c r="B88" s="21">
        <v>1</v>
      </c>
      <c r="C88" s="21" t="s">
        <v>614</v>
      </c>
      <c r="D88" s="21">
        <v>1</v>
      </c>
      <c r="E88" s="21"/>
      <c r="F88" s="21" t="s">
        <v>48</v>
      </c>
      <c r="G88" s="21"/>
      <c r="H88" s="21"/>
      <c r="I88" s="21"/>
      <c r="J88" s="21" t="s">
        <v>513</v>
      </c>
      <c r="K88" s="21" t="s">
        <v>614</v>
      </c>
      <c r="L88" s="21">
        <v>56.9</v>
      </c>
      <c r="M88" s="21" t="s">
        <v>82</v>
      </c>
      <c r="N88" s="21" t="s">
        <v>608</v>
      </c>
      <c r="O88" s="21" t="s">
        <v>607</v>
      </c>
    </row>
    <row r="89" spans="1:15" ht="15.75" customHeight="1" thickBot="1">
      <c r="A89" s="21" t="s">
        <v>90</v>
      </c>
      <c r="B89" s="21">
        <v>1</v>
      </c>
      <c r="C89" s="21">
        <v>2816500</v>
      </c>
      <c r="D89" s="21">
        <v>1</v>
      </c>
      <c r="E89" s="21">
        <v>590</v>
      </c>
      <c r="F89" s="21" t="s">
        <v>91</v>
      </c>
      <c r="G89" s="21">
        <v>590</v>
      </c>
      <c r="H89" s="21" t="s">
        <v>91</v>
      </c>
      <c r="I89" s="21">
        <v>0</v>
      </c>
      <c r="J89" s="21" t="s">
        <v>514</v>
      </c>
      <c r="K89" s="21" t="s">
        <v>614</v>
      </c>
      <c r="L89" s="21">
        <v>0</v>
      </c>
      <c r="M89" s="21" t="s">
        <v>82</v>
      </c>
      <c r="N89" s="21" t="s">
        <v>608</v>
      </c>
      <c r="O89" s="21" t="s">
        <v>607</v>
      </c>
    </row>
    <row r="90" spans="1:15" ht="15.75" customHeight="1" thickBot="1">
      <c r="A90" s="21" t="s">
        <v>90</v>
      </c>
      <c r="B90" s="21">
        <v>2</v>
      </c>
      <c r="C90" s="21">
        <v>6000</v>
      </c>
      <c r="D90" s="21">
        <v>2</v>
      </c>
      <c r="E90" s="21">
        <v>0.19400000000000001</v>
      </c>
      <c r="F90" s="21" t="s">
        <v>99</v>
      </c>
      <c r="G90" s="21">
        <v>311</v>
      </c>
      <c r="H90" s="21" t="s">
        <v>91</v>
      </c>
      <c r="I90" s="21">
        <v>311</v>
      </c>
      <c r="J90" s="21" t="s">
        <v>615</v>
      </c>
      <c r="K90" s="21" t="s">
        <v>614</v>
      </c>
      <c r="L90" s="21">
        <v>0</v>
      </c>
      <c r="M90" s="21" t="s">
        <v>82</v>
      </c>
      <c r="N90" s="21" t="s">
        <v>608</v>
      </c>
      <c r="O90" s="21" t="s">
        <v>607</v>
      </c>
    </row>
    <row r="91" spans="1:15" ht="15.75" customHeight="1" thickBot="1">
      <c r="A91" s="21" t="s">
        <v>90</v>
      </c>
      <c r="B91" s="21">
        <v>3</v>
      </c>
      <c r="C91" s="21">
        <v>691000</v>
      </c>
      <c r="D91" s="21">
        <v>2</v>
      </c>
      <c r="E91" s="21">
        <v>2E-3</v>
      </c>
      <c r="F91" s="21" t="s">
        <v>99</v>
      </c>
      <c r="G91" s="21">
        <v>52</v>
      </c>
      <c r="H91" s="21" t="s">
        <v>91</v>
      </c>
      <c r="I91" s="21">
        <v>21</v>
      </c>
      <c r="J91" s="21" t="s">
        <v>616</v>
      </c>
      <c r="K91" s="21" t="s">
        <v>614</v>
      </c>
      <c r="L91" s="21">
        <v>0</v>
      </c>
      <c r="M91" s="21" t="s">
        <v>82</v>
      </c>
      <c r="N91" s="21" t="s">
        <v>608</v>
      </c>
      <c r="O91" s="21" t="s">
        <v>607</v>
      </c>
    </row>
    <row r="92" spans="1:15" ht="15.75" customHeight="1" thickBot="1">
      <c r="A92" s="21" t="s">
        <v>86</v>
      </c>
      <c r="B92" s="21">
        <v>2</v>
      </c>
      <c r="C92" s="21" t="s">
        <v>617</v>
      </c>
      <c r="D92" s="21">
        <v>1</v>
      </c>
      <c r="E92" s="21"/>
      <c r="F92" s="21" t="s">
        <v>48</v>
      </c>
      <c r="G92" s="21"/>
      <c r="H92" s="21"/>
      <c r="I92" s="21"/>
      <c r="J92" s="21" t="s">
        <v>618</v>
      </c>
      <c r="K92" s="21" t="s">
        <v>617</v>
      </c>
      <c r="L92" s="21">
        <v>14.92</v>
      </c>
      <c r="M92" s="21" t="s">
        <v>82</v>
      </c>
      <c r="N92" s="21" t="s">
        <v>608</v>
      </c>
      <c r="O92" s="21" t="s">
        <v>607</v>
      </c>
    </row>
    <row r="93" spans="1:15" ht="15.75" customHeight="1" thickBot="1">
      <c r="A93" s="21" t="s">
        <v>90</v>
      </c>
      <c r="B93" s="21">
        <v>1</v>
      </c>
      <c r="C93" s="21">
        <v>2822300</v>
      </c>
      <c r="D93" s="21">
        <v>1</v>
      </c>
      <c r="E93" s="21">
        <v>1020</v>
      </c>
      <c r="F93" s="21" t="s">
        <v>91</v>
      </c>
      <c r="G93" s="21">
        <v>1020</v>
      </c>
      <c r="H93" s="21" t="s">
        <v>91</v>
      </c>
      <c r="I93" s="21">
        <v>0</v>
      </c>
      <c r="J93" s="21" t="s">
        <v>332</v>
      </c>
      <c r="K93" s="21" t="s">
        <v>617</v>
      </c>
      <c r="L93" s="21">
        <v>0</v>
      </c>
      <c r="M93" s="21" t="s">
        <v>82</v>
      </c>
      <c r="N93" s="21" t="s">
        <v>608</v>
      </c>
      <c r="O93" s="21" t="s">
        <v>607</v>
      </c>
    </row>
    <row r="94" spans="1:15" ht="15.75" customHeight="1" thickBot="1">
      <c r="A94" s="21" t="s">
        <v>86</v>
      </c>
      <c r="B94" s="21">
        <v>5</v>
      </c>
      <c r="C94" s="21" t="s">
        <v>489</v>
      </c>
      <c r="D94" s="21">
        <v>1</v>
      </c>
      <c r="E94" s="21"/>
      <c r="F94" s="21" t="s">
        <v>48</v>
      </c>
      <c r="G94" s="21"/>
      <c r="H94" s="21"/>
      <c r="I94" s="21"/>
      <c r="J94" s="21" t="s">
        <v>490</v>
      </c>
      <c r="K94" s="21" t="s">
        <v>489</v>
      </c>
      <c r="L94" s="21">
        <v>0.1</v>
      </c>
      <c r="M94" s="21" t="s">
        <v>82</v>
      </c>
      <c r="N94" s="21" t="s">
        <v>608</v>
      </c>
      <c r="O94" s="21" t="s">
        <v>607</v>
      </c>
    </row>
    <row r="95" spans="1:15" ht="15.75" customHeight="1" thickBot="1">
      <c r="A95" s="21" t="s">
        <v>90</v>
      </c>
      <c r="B95" s="21">
        <v>1</v>
      </c>
      <c r="C95" s="21">
        <v>3695600</v>
      </c>
      <c r="D95" s="21">
        <v>1</v>
      </c>
      <c r="E95" s="21">
        <v>15.8</v>
      </c>
      <c r="F95" s="21" t="s">
        <v>91</v>
      </c>
      <c r="G95" s="21">
        <v>15.8</v>
      </c>
      <c r="H95" s="21" t="s">
        <v>91</v>
      </c>
      <c r="I95" s="21">
        <v>0</v>
      </c>
      <c r="J95" s="21" t="s">
        <v>491</v>
      </c>
      <c r="K95" s="21" t="s">
        <v>489</v>
      </c>
      <c r="L95" s="21">
        <v>0</v>
      </c>
      <c r="M95" s="21" t="s">
        <v>82</v>
      </c>
      <c r="N95" s="21" t="s">
        <v>608</v>
      </c>
      <c r="O95" s="21" t="s">
        <v>607</v>
      </c>
    </row>
    <row r="96" spans="1:15" ht="15.75" customHeight="1" thickBot="1">
      <c r="A96" s="21" t="s">
        <v>86</v>
      </c>
      <c r="B96" s="21">
        <v>101</v>
      </c>
      <c r="C96" s="21">
        <v>33140000</v>
      </c>
      <c r="D96" s="21">
        <v>1</v>
      </c>
      <c r="E96" s="21"/>
      <c r="F96" s="21" t="s">
        <v>48</v>
      </c>
      <c r="G96" s="21" t="s">
        <v>619</v>
      </c>
      <c r="H96" s="21"/>
      <c r="I96" s="21"/>
      <c r="J96" s="21" t="s">
        <v>620</v>
      </c>
      <c r="K96" s="21" t="s">
        <v>489</v>
      </c>
      <c r="L96" s="21">
        <v>0</v>
      </c>
      <c r="M96" s="21" t="s">
        <v>82</v>
      </c>
      <c r="N96" s="21" t="s">
        <v>608</v>
      </c>
      <c r="O96" s="21" t="s">
        <v>607</v>
      </c>
    </row>
    <row r="97" spans="1:15" ht="15.75" customHeight="1" thickBot="1">
      <c r="A97" s="21" t="s">
        <v>86</v>
      </c>
      <c r="B97" s="21">
        <v>102</v>
      </c>
      <c r="C97" s="21">
        <v>1859900</v>
      </c>
      <c r="D97" s="21">
        <v>1</v>
      </c>
      <c r="E97" s="21"/>
      <c r="F97" s="21" t="s">
        <v>48</v>
      </c>
      <c r="G97" s="21" t="s">
        <v>492</v>
      </c>
      <c r="H97" s="21"/>
      <c r="I97" s="21"/>
      <c r="J97" s="21" t="s">
        <v>493</v>
      </c>
      <c r="K97" s="21" t="s">
        <v>489</v>
      </c>
      <c r="L97" s="21">
        <v>0</v>
      </c>
      <c r="M97" s="21" t="s">
        <v>82</v>
      </c>
      <c r="N97" s="21" t="s">
        <v>608</v>
      </c>
      <c r="O97" s="21" t="s">
        <v>607</v>
      </c>
    </row>
    <row r="98" spans="1:15" ht="15.75" customHeight="1" thickBot="1">
      <c r="A98" s="21" t="s">
        <v>79</v>
      </c>
      <c r="B98" s="21">
        <v>1</v>
      </c>
      <c r="C98" s="21" t="s">
        <v>636</v>
      </c>
      <c r="D98" s="21">
        <v>1</v>
      </c>
      <c r="E98" s="21"/>
      <c r="F98" s="21" t="s">
        <v>48</v>
      </c>
      <c r="G98" s="21" t="s">
        <v>637</v>
      </c>
      <c r="H98" s="21"/>
      <c r="I98" s="21"/>
      <c r="J98" s="21" t="s">
        <v>638</v>
      </c>
      <c r="K98" s="21">
        <v>101901</v>
      </c>
      <c r="L98" s="21">
        <v>40.887999999999998</v>
      </c>
      <c r="M98" s="21" t="s">
        <v>82</v>
      </c>
      <c r="N98" s="21" t="s">
        <v>608</v>
      </c>
      <c r="O98" s="21" t="s">
        <v>607</v>
      </c>
    </row>
    <row r="99" spans="1:15" ht="15.75" customHeight="1" thickBot="1">
      <c r="A99" s="21" t="s">
        <v>86</v>
      </c>
      <c r="B99" s="21">
        <v>1</v>
      </c>
      <c r="C99" s="21">
        <v>35313600</v>
      </c>
      <c r="D99" s="21">
        <v>1</v>
      </c>
      <c r="E99" s="21">
        <v>800</v>
      </c>
      <c r="F99" s="21" t="s">
        <v>91</v>
      </c>
      <c r="G99" s="21">
        <v>800</v>
      </c>
      <c r="H99" s="21" t="s">
        <v>91</v>
      </c>
      <c r="I99" s="21">
        <v>0</v>
      </c>
      <c r="J99" s="21" t="s">
        <v>639</v>
      </c>
      <c r="K99" s="21">
        <v>101901</v>
      </c>
      <c r="L99" s="21">
        <v>0</v>
      </c>
      <c r="M99" s="21" t="s">
        <v>82</v>
      </c>
      <c r="N99" s="21" t="s">
        <v>608</v>
      </c>
      <c r="O99" s="21" t="s">
        <v>607</v>
      </c>
    </row>
    <row r="100" spans="1:15" ht="15.75" customHeight="1" thickBot="1">
      <c r="A100" s="21" t="s">
        <v>86</v>
      </c>
      <c r="B100" s="21">
        <v>2</v>
      </c>
      <c r="C100" s="21" t="s">
        <v>640</v>
      </c>
      <c r="D100" s="21">
        <v>1</v>
      </c>
      <c r="E100" s="21"/>
      <c r="F100" s="21" t="s">
        <v>48</v>
      </c>
      <c r="G100" s="21" t="s">
        <v>641</v>
      </c>
      <c r="H100" s="21"/>
      <c r="I100" s="21"/>
      <c r="J100" s="21" t="s">
        <v>642</v>
      </c>
      <c r="K100" s="21">
        <v>101902</v>
      </c>
      <c r="L100" s="21">
        <v>26.72</v>
      </c>
      <c r="M100" s="21" t="s">
        <v>82</v>
      </c>
      <c r="N100" s="21" t="s">
        <v>608</v>
      </c>
      <c r="O100" s="21" t="s">
        <v>607</v>
      </c>
    </row>
    <row r="101" spans="1:15" ht="15.75" customHeight="1" thickBot="1">
      <c r="A101" s="21" t="s">
        <v>90</v>
      </c>
      <c r="B101" s="21">
        <v>1</v>
      </c>
      <c r="C101" s="21">
        <v>1337900</v>
      </c>
      <c r="D101" s="21">
        <v>1</v>
      </c>
      <c r="E101" s="21">
        <v>590</v>
      </c>
      <c r="F101" s="21" t="s">
        <v>91</v>
      </c>
      <c r="G101" s="21">
        <v>590</v>
      </c>
      <c r="H101" s="21" t="s">
        <v>91</v>
      </c>
      <c r="I101" s="21">
        <v>0</v>
      </c>
      <c r="J101" s="21" t="s">
        <v>643</v>
      </c>
      <c r="K101" s="21">
        <v>101902</v>
      </c>
      <c r="L101" s="21">
        <v>0</v>
      </c>
      <c r="M101" s="21" t="s">
        <v>82</v>
      </c>
      <c r="N101" s="21" t="s">
        <v>608</v>
      </c>
      <c r="O101" s="21" t="s">
        <v>607</v>
      </c>
    </row>
    <row r="102" spans="1:15" ht="15.75" customHeight="1" thickBot="1">
      <c r="A102" s="21" t="s">
        <v>90</v>
      </c>
      <c r="B102" s="21">
        <v>2</v>
      </c>
      <c r="C102" s="21" t="s">
        <v>644</v>
      </c>
      <c r="D102" s="21">
        <v>2</v>
      </c>
      <c r="E102" s="21"/>
      <c r="F102" s="21" t="s">
        <v>48</v>
      </c>
      <c r="G102" s="21" t="s">
        <v>645</v>
      </c>
      <c r="H102" s="21"/>
      <c r="I102" s="21"/>
      <c r="J102" s="21" t="s">
        <v>646</v>
      </c>
      <c r="K102" s="21">
        <v>101902</v>
      </c>
      <c r="L102" s="21">
        <v>3.43</v>
      </c>
      <c r="M102" s="21" t="s">
        <v>82</v>
      </c>
      <c r="N102" s="21" t="s">
        <v>608</v>
      </c>
      <c r="O102" s="21" t="s">
        <v>607</v>
      </c>
    </row>
    <row r="103" spans="1:15" ht="15.75" customHeight="1" thickBot="1">
      <c r="A103" s="21" t="s">
        <v>289</v>
      </c>
      <c r="B103" s="21">
        <v>1</v>
      </c>
      <c r="C103" s="21">
        <v>7500</v>
      </c>
      <c r="D103" s="21">
        <v>2</v>
      </c>
      <c r="E103" s="21">
        <v>9.0999999999999998E-2</v>
      </c>
      <c r="F103" s="21" t="s">
        <v>99</v>
      </c>
      <c r="G103" s="21">
        <v>214</v>
      </c>
      <c r="H103" s="21" t="s">
        <v>91</v>
      </c>
      <c r="I103" s="21">
        <v>214</v>
      </c>
      <c r="J103" s="21" t="s">
        <v>515</v>
      </c>
      <c r="K103" s="21">
        <v>101902</v>
      </c>
      <c r="L103" s="21">
        <v>0</v>
      </c>
      <c r="M103" s="21" t="s">
        <v>82</v>
      </c>
      <c r="N103" s="21" t="s">
        <v>608</v>
      </c>
      <c r="O103" s="21" t="s">
        <v>607</v>
      </c>
    </row>
    <row r="104" spans="1:15" ht="15.75" customHeight="1" thickBot="1">
      <c r="A104" s="21" t="s">
        <v>86</v>
      </c>
      <c r="B104" s="21">
        <v>4</v>
      </c>
      <c r="C104" s="21">
        <v>88500</v>
      </c>
      <c r="D104" s="21">
        <v>2</v>
      </c>
      <c r="E104" s="21">
        <v>3.0000000000000001E-3</v>
      </c>
      <c r="F104" s="21" t="s">
        <v>99</v>
      </c>
      <c r="G104" s="21">
        <v>40</v>
      </c>
      <c r="H104" s="21" t="s">
        <v>91</v>
      </c>
      <c r="I104" s="21">
        <v>40</v>
      </c>
      <c r="J104" s="21" t="s">
        <v>294</v>
      </c>
      <c r="K104" s="21">
        <v>101902</v>
      </c>
      <c r="L104" s="21">
        <v>0</v>
      </c>
      <c r="M104" s="21" t="s">
        <v>82</v>
      </c>
      <c r="N104" s="21" t="s">
        <v>608</v>
      </c>
      <c r="O104" s="21" t="s">
        <v>607</v>
      </c>
    </row>
  </sheetData>
  <autoFilter ref="A1:O8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pane ySplit="1" topLeftCell="A2" activePane="bottomLeft" state="frozen"/>
      <selection pane="bottomLeft" activeCell="A18" sqref="A18"/>
    </sheetView>
  </sheetViews>
  <sheetFormatPr defaultRowHeight="14.4"/>
  <cols>
    <col min="1" max="1" width="56" style="27" customWidth="1"/>
    <col min="2" max="2" width="10" style="30" customWidth="1"/>
    <col min="3" max="3" width="12" customWidth="1"/>
  </cols>
  <sheetData>
    <row r="1" spans="1:3">
      <c r="A1" s="31" t="s">
        <v>724</v>
      </c>
      <c r="B1" s="32" t="s">
        <v>725</v>
      </c>
      <c r="C1" s="24" t="s">
        <v>3</v>
      </c>
    </row>
    <row r="2" spans="1:3" ht="30" customHeight="1">
      <c r="A2" s="33" t="s">
        <v>311</v>
      </c>
      <c r="B2" s="34">
        <v>2</v>
      </c>
      <c r="C2" s="23">
        <v>4457500</v>
      </c>
    </row>
    <row r="3" spans="1:3">
      <c r="A3" s="33" t="s">
        <v>533</v>
      </c>
      <c r="B3" s="34">
        <v>72</v>
      </c>
      <c r="C3" s="23" t="s">
        <v>532</v>
      </c>
    </row>
    <row r="4" spans="1:3">
      <c r="A4" s="33" t="s">
        <v>528</v>
      </c>
      <c r="B4" s="34">
        <v>48</v>
      </c>
      <c r="C4" s="23" t="s">
        <v>527</v>
      </c>
    </row>
    <row r="5" spans="1:3">
      <c r="A5" s="61" t="s">
        <v>554</v>
      </c>
      <c r="B5" s="36">
        <v>32</v>
      </c>
      <c r="C5" s="35" t="s">
        <v>553</v>
      </c>
    </row>
    <row r="6" spans="1:3">
      <c r="A6" s="42" t="s">
        <v>551</v>
      </c>
      <c r="B6" s="43">
        <v>4</v>
      </c>
      <c r="C6" s="60">
        <v>2172200</v>
      </c>
    </row>
    <row r="7" spans="1:3" ht="45" customHeight="1">
      <c r="A7" s="33" t="s">
        <v>704</v>
      </c>
      <c r="B7" s="34">
        <v>2</v>
      </c>
      <c r="C7" s="23">
        <v>4277800</v>
      </c>
    </row>
    <row r="8" spans="1:3" ht="60" customHeight="1">
      <c r="A8" s="33" t="s">
        <v>703</v>
      </c>
      <c r="B8" s="34">
        <v>3</v>
      </c>
      <c r="C8" s="23">
        <v>3101100</v>
      </c>
    </row>
  </sheetData>
  <autoFilter ref="A1:C4" xr:uid="{00000000-0009-0000-0000-000006000000}"/>
  <conditionalFormatting sqref="C1:C1048576">
    <cfRule type="duplicateValues" dxfId="9" priority="1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1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/>
  <cols>
    <col min="1" max="1" width="60" style="27" customWidth="1"/>
    <col min="2" max="2" width="10" style="30" customWidth="1"/>
    <col min="3" max="3" width="16" customWidth="1"/>
  </cols>
  <sheetData>
    <row r="1" spans="1:3">
      <c r="A1" s="25" t="s">
        <v>724</v>
      </c>
      <c r="B1" s="28" t="s">
        <v>725</v>
      </c>
      <c r="C1" s="20" t="s">
        <v>3</v>
      </c>
    </row>
    <row r="2" spans="1:3">
      <c r="A2" s="26" t="s">
        <v>503</v>
      </c>
      <c r="B2" s="29">
        <v>8</v>
      </c>
      <c r="C2" s="21">
        <v>1840100</v>
      </c>
    </row>
    <row r="3" spans="1:3">
      <c r="A3" s="26" t="s">
        <v>181</v>
      </c>
      <c r="B3" s="29">
        <v>2</v>
      </c>
      <c r="C3" s="21" t="s">
        <v>180</v>
      </c>
    </row>
    <row r="4" spans="1:3">
      <c r="A4" s="21" t="s">
        <v>654</v>
      </c>
      <c r="B4" s="29">
        <v>2</v>
      </c>
      <c r="C4" s="21" t="s">
        <v>653</v>
      </c>
    </row>
    <row r="5" spans="1:3" ht="15.75" customHeight="1" thickBot="1">
      <c r="A5" s="26" t="s">
        <v>340</v>
      </c>
      <c r="B5" s="29">
        <v>12</v>
      </c>
      <c r="C5" s="21" t="s">
        <v>339</v>
      </c>
    </row>
    <row r="6" spans="1:3" ht="15.75" customHeight="1" thickBot="1">
      <c r="A6" s="26" t="s">
        <v>194</v>
      </c>
      <c r="B6" s="29">
        <v>24</v>
      </c>
      <c r="C6" s="21">
        <v>5038300</v>
      </c>
    </row>
    <row r="7" spans="1:3" ht="45.75" customHeight="1" thickBot="1">
      <c r="A7" s="26" t="s">
        <v>342</v>
      </c>
      <c r="B7" s="29">
        <v>11</v>
      </c>
      <c r="C7" s="21" t="s">
        <v>341</v>
      </c>
    </row>
    <row r="8" spans="1:3" ht="15.75" customHeight="1" thickBot="1">
      <c r="A8" s="21" t="s">
        <v>656</v>
      </c>
      <c r="B8" s="29">
        <v>2</v>
      </c>
      <c r="C8" s="21" t="s">
        <v>655</v>
      </c>
    </row>
    <row r="9" spans="1:3" ht="15.75" customHeight="1" thickBot="1">
      <c r="A9" s="26" t="s">
        <v>505</v>
      </c>
      <c r="B9" s="29">
        <v>4</v>
      </c>
      <c r="C9" s="21" t="s">
        <v>504</v>
      </c>
    </row>
    <row r="10" spans="1:3">
      <c r="A10" s="26" t="s">
        <v>186</v>
      </c>
      <c r="B10" s="29">
        <v>1</v>
      </c>
      <c r="C10" s="21" t="s">
        <v>185</v>
      </c>
    </row>
    <row r="11" spans="1:3">
      <c r="A11" s="26" t="s">
        <v>495</v>
      </c>
      <c r="B11" s="29">
        <v>2</v>
      </c>
      <c r="C11" s="21">
        <v>1550600</v>
      </c>
    </row>
    <row r="12" spans="1:3" ht="30" customHeight="1">
      <c r="A12" s="26" t="s">
        <v>175</v>
      </c>
      <c r="B12" s="29">
        <v>2</v>
      </c>
      <c r="C12" s="21" t="s">
        <v>174</v>
      </c>
    </row>
    <row r="13" spans="1:3">
      <c r="A13" s="21" t="s">
        <v>650</v>
      </c>
      <c r="B13" s="29">
        <v>2</v>
      </c>
      <c r="C13" s="21" t="s">
        <v>649</v>
      </c>
    </row>
    <row r="14" spans="1:3" ht="30.75" customHeight="1" thickBot="1">
      <c r="A14" s="26" t="s">
        <v>338</v>
      </c>
      <c r="B14" s="29">
        <v>12</v>
      </c>
      <c r="C14" s="21">
        <v>3728200</v>
      </c>
    </row>
    <row r="15" spans="1:3" ht="30.75" customHeight="1" thickBot="1">
      <c r="A15" s="26" t="s">
        <v>500</v>
      </c>
      <c r="B15" s="29">
        <v>8</v>
      </c>
      <c r="C15" s="21" t="s">
        <v>499</v>
      </c>
    </row>
    <row r="16" spans="1:3">
      <c r="A16" s="21" t="s">
        <v>622</v>
      </c>
      <c r="B16" s="29">
        <v>12</v>
      </c>
      <c r="C16" s="21">
        <v>3728400</v>
      </c>
    </row>
    <row r="17" spans="1:3" ht="30.75" customHeight="1" thickBot="1">
      <c r="A17" s="26" t="s">
        <v>178</v>
      </c>
      <c r="B17" s="29">
        <v>2</v>
      </c>
      <c r="C17" s="21" t="s">
        <v>177</v>
      </c>
    </row>
    <row r="18" spans="1:3" ht="15.75" customHeight="1" thickBot="1">
      <c r="A18" s="21" t="s">
        <v>652</v>
      </c>
      <c r="B18" s="29">
        <v>2</v>
      </c>
      <c r="C18" s="21" t="s">
        <v>651</v>
      </c>
    </row>
    <row r="19" spans="1:3">
      <c r="A19" s="26" t="s">
        <v>502</v>
      </c>
      <c r="B19" s="29">
        <v>8</v>
      </c>
      <c r="C19" s="21" t="s">
        <v>501</v>
      </c>
    </row>
    <row r="20" spans="1:3" ht="15.75" customHeight="1" thickBot="1">
      <c r="A20" s="26" t="s">
        <v>334</v>
      </c>
      <c r="B20" s="29">
        <v>14</v>
      </c>
      <c r="C20" s="21" t="s">
        <v>333</v>
      </c>
    </row>
    <row r="21" spans="1:3" ht="15.75" customHeight="1" thickBot="1">
      <c r="A21" s="26" t="s">
        <v>486</v>
      </c>
      <c r="B21" s="29">
        <v>8</v>
      </c>
      <c r="C21" s="21" t="s">
        <v>485</v>
      </c>
    </row>
    <row r="22" spans="1:3" ht="15.75" customHeight="1" thickBot="1">
      <c r="A22" s="26" t="s">
        <v>117</v>
      </c>
      <c r="B22" s="29">
        <v>2</v>
      </c>
      <c r="C22" s="21" t="s">
        <v>116</v>
      </c>
    </row>
    <row r="23" spans="1:3" ht="30.75" customHeight="1" thickBot="1">
      <c r="A23" s="26" t="s">
        <v>200</v>
      </c>
      <c r="B23" s="29">
        <v>24</v>
      </c>
      <c r="C23" s="21">
        <v>3661300</v>
      </c>
    </row>
    <row r="24" spans="1:3" ht="30.75" customHeight="1" thickBot="1">
      <c r="A24" s="26" t="s">
        <v>498</v>
      </c>
      <c r="B24" s="29">
        <v>8</v>
      </c>
      <c r="C24" s="21" t="s">
        <v>497</v>
      </c>
    </row>
    <row r="25" spans="1:3" ht="15.75" customHeight="1" thickBot="1">
      <c r="A25" s="26" t="s">
        <v>604</v>
      </c>
      <c r="B25" s="29">
        <v>12</v>
      </c>
      <c r="C25" s="21" t="s">
        <v>337</v>
      </c>
    </row>
    <row r="26" spans="1:3" ht="45.75" customHeight="1" thickBot="1">
      <c r="A26" s="26" t="s">
        <v>170</v>
      </c>
      <c r="B26" s="29">
        <v>2</v>
      </c>
      <c r="C26" s="21" t="s">
        <v>169</v>
      </c>
    </row>
    <row r="27" spans="1:3" ht="15.75" customHeight="1" thickBot="1">
      <c r="A27" s="21" t="s">
        <v>648</v>
      </c>
      <c r="B27" s="29">
        <v>2</v>
      </c>
      <c r="C27" s="21" t="s">
        <v>647</v>
      </c>
    </row>
    <row r="28" spans="1:3" ht="45.75" customHeight="1" thickBot="1">
      <c r="A28" s="26" t="s">
        <v>344</v>
      </c>
      <c r="B28" s="29">
        <v>13</v>
      </c>
      <c r="C28" s="21" t="s">
        <v>343</v>
      </c>
    </row>
    <row r="29" spans="1:3" ht="60.75" customHeight="1" thickBot="1">
      <c r="A29" s="26" t="s">
        <v>507</v>
      </c>
      <c r="B29" s="29">
        <v>12</v>
      </c>
      <c r="C29" s="21" t="s">
        <v>506</v>
      </c>
    </row>
    <row r="30" spans="1:3" ht="60.75" customHeight="1" thickBot="1">
      <c r="A30" s="26" t="s">
        <v>191</v>
      </c>
      <c r="B30" s="29">
        <v>3</v>
      </c>
      <c r="C30" s="21" t="s">
        <v>190</v>
      </c>
    </row>
    <row r="31" spans="1:3" ht="15.75" customHeight="1" thickBot="1">
      <c r="A31" s="21" t="s">
        <v>659</v>
      </c>
      <c r="B31" s="29">
        <v>2</v>
      </c>
      <c r="C31" s="21" t="s">
        <v>658</v>
      </c>
    </row>
  </sheetData>
  <autoFilter ref="A1:C20" xr:uid="{00000000-0009-0000-0000-000007000000}"/>
  <conditionalFormatting sqref="C1:C1048576">
    <cfRule type="duplicateValues" dxfId="8" priority="1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"/>
  <sheetViews>
    <sheetView workbookViewId="0">
      <pane ySplit="3" topLeftCell="A8" activePane="bottomLeft" state="frozen"/>
      <selection pane="bottomLeft" activeCell="J18" sqref="J18"/>
    </sheetView>
  </sheetViews>
  <sheetFormatPr defaultRowHeight="14.4"/>
  <cols>
    <col min="1" max="1" width="60" style="27" customWidth="1"/>
    <col min="2" max="2" width="10" style="30" customWidth="1"/>
    <col min="3" max="3" width="16" customWidth="1"/>
    <col min="6" max="6" width="60" style="27" customWidth="1"/>
    <col min="7" max="7" width="10" customWidth="1"/>
    <col min="8" max="8" width="16" customWidth="1"/>
  </cols>
  <sheetData>
    <row r="1" spans="1:10" s="39" customFormat="1">
      <c r="A1" s="48" t="s">
        <v>743</v>
      </c>
      <c r="B1" s="49"/>
      <c r="F1" s="62" t="s">
        <v>744</v>
      </c>
    </row>
    <row r="2" spans="1:10" s="39" customFormat="1" ht="15.75" customHeight="1" thickBot="1">
      <c r="A2" s="48"/>
      <c r="B2" s="49"/>
      <c r="F2" s="48"/>
    </row>
    <row r="3" spans="1:10" ht="15.75" customHeight="1" thickBot="1">
      <c r="A3" s="25" t="s">
        <v>724</v>
      </c>
      <c r="B3" s="28" t="s">
        <v>725</v>
      </c>
      <c r="C3" s="20" t="s">
        <v>3</v>
      </c>
      <c r="F3" s="37" t="s">
        <v>724</v>
      </c>
      <c r="G3" s="38" t="s">
        <v>725</v>
      </c>
      <c r="H3" s="38" t="s">
        <v>3</v>
      </c>
      <c r="I3" s="39"/>
      <c r="J3" s="39"/>
    </row>
    <row r="4" spans="1:10">
      <c r="A4" s="26" t="s">
        <v>558</v>
      </c>
      <c r="B4" s="29">
        <v>24</v>
      </c>
      <c r="C4" s="21" t="s">
        <v>557</v>
      </c>
      <c r="F4" s="33" t="s">
        <v>558</v>
      </c>
      <c r="G4" s="34">
        <v>24</v>
      </c>
      <c r="H4" s="36" t="s">
        <v>557</v>
      </c>
      <c r="I4" s="39"/>
      <c r="J4" s="39"/>
    </row>
    <row r="5" spans="1:10" ht="60" customHeight="1">
      <c r="A5" s="26" t="s">
        <v>566</v>
      </c>
      <c r="B5" s="29">
        <v>26</v>
      </c>
      <c r="C5" s="21">
        <v>41178549</v>
      </c>
      <c r="F5" s="33" t="s">
        <v>566</v>
      </c>
      <c r="G5" s="34">
        <v>4</v>
      </c>
      <c r="H5" s="36">
        <v>41178549</v>
      </c>
      <c r="I5" s="39" t="s">
        <v>745</v>
      </c>
      <c r="J5" s="40" t="s">
        <v>746</v>
      </c>
    </row>
    <row r="6" spans="1:10" ht="30" customHeight="1">
      <c r="A6" s="26" t="s">
        <v>446</v>
      </c>
      <c r="B6" s="29">
        <v>192</v>
      </c>
      <c r="C6" s="21" t="s">
        <v>445</v>
      </c>
      <c r="F6" s="33" t="s">
        <v>556</v>
      </c>
      <c r="G6" s="34">
        <v>210</v>
      </c>
      <c r="H6" s="36" t="s">
        <v>555</v>
      </c>
      <c r="I6" s="39"/>
      <c r="J6" s="39"/>
    </row>
    <row r="7" spans="1:10" ht="60.75" customHeight="1" thickBot="1">
      <c r="A7" s="26" t="s">
        <v>556</v>
      </c>
      <c r="B7" s="29">
        <v>160</v>
      </c>
      <c r="C7" s="21" t="s">
        <v>555</v>
      </c>
      <c r="F7" s="33" t="s">
        <v>382</v>
      </c>
      <c r="G7" s="34">
        <v>8</v>
      </c>
      <c r="H7" s="36" t="s">
        <v>381</v>
      </c>
      <c r="I7" s="39" t="s">
        <v>747</v>
      </c>
      <c r="J7" s="40" t="s">
        <v>746</v>
      </c>
    </row>
    <row r="8" spans="1:10" ht="60.75" customHeight="1" thickBot="1">
      <c r="A8" s="26" t="s">
        <v>382</v>
      </c>
      <c r="B8" s="29">
        <v>10</v>
      </c>
      <c r="C8" s="21" t="s">
        <v>381</v>
      </c>
      <c r="F8" s="33" t="s">
        <v>447</v>
      </c>
      <c r="G8" s="34">
        <v>4</v>
      </c>
      <c r="H8" s="36">
        <v>41178549</v>
      </c>
      <c r="I8" s="39"/>
      <c r="J8" s="39"/>
    </row>
    <row r="9" spans="1:10" ht="45.75" customHeight="1" thickBot="1">
      <c r="A9" s="26" t="s">
        <v>560</v>
      </c>
      <c r="B9" s="29">
        <v>28</v>
      </c>
      <c r="C9" s="21" t="s">
        <v>559</v>
      </c>
      <c r="F9" s="33" t="s">
        <v>560</v>
      </c>
      <c r="G9" s="34">
        <v>38</v>
      </c>
      <c r="H9" s="36" t="s">
        <v>559</v>
      </c>
      <c r="I9" s="39"/>
      <c r="J9" s="39"/>
    </row>
    <row r="10" spans="1:10" ht="30.75" customHeight="1" thickBot="1">
      <c r="A10" s="26" t="s">
        <v>380</v>
      </c>
      <c r="B10" s="29">
        <v>19</v>
      </c>
      <c r="C10" s="21" t="s">
        <v>379</v>
      </c>
      <c r="F10" s="33" t="s">
        <v>748</v>
      </c>
      <c r="G10" s="34">
        <v>300</v>
      </c>
      <c r="H10" s="41" t="s">
        <v>749</v>
      </c>
      <c r="I10" s="39"/>
      <c r="J10" s="39"/>
    </row>
    <row r="11" spans="1:10">
      <c r="F11" s="33" t="s">
        <v>750</v>
      </c>
      <c r="G11" s="34">
        <v>35</v>
      </c>
      <c r="H11" s="36" t="s">
        <v>751</v>
      </c>
      <c r="I11" s="39"/>
      <c r="J11" s="39"/>
    </row>
    <row r="12" spans="1:10" ht="15.75" customHeight="1">
      <c r="F12" s="42" t="s">
        <v>752</v>
      </c>
      <c r="G12" s="43">
        <v>36</v>
      </c>
      <c r="H12" s="44" t="s">
        <v>753</v>
      </c>
      <c r="I12" s="39"/>
      <c r="J12" s="40" t="s">
        <v>746</v>
      </c>
    </row>
    <row r="13" spans="1:10" ht="30" customHeight="1">
      <c r="F13" s="42" t="s">
        <v>446</v>
      </c>
      <c r="G13" s="43">
        <v>192</v>
      </c>
      <c r="H13" s="45" t="s">
        <v>445</v>
      </c>
      <c r="I13" s="39"/>
      <c r="J13" s="40" t="s">
        <v>746</v>
      </c>
    </row>
    <row r="14" spans="1:10" ht="30" customHeight="1">
      <c r="F14" s="33" t="s">
        <v>380</v>
      </c>
      <c r="G14" s="34">
        <v>19</v>
      </c>
      <c r="H14" s="46" t="s">
        <v>379</v>
      </c>
      <c r="I14" s="39"/>
      <c r="J14" s="40" t="s">
        <v>746</v>
      </c>
    </row>
    <row r="16" spans="1:10" ht="45" customHeight="1">
      <c r="F16" s="33" t="s">
        <v>709</v>
      </c>
      <c r="G16" s="23">
        <v>4</v>
      </c>
      <c r="H16" s="23">
        <v>41178549</v>
      </c>
      <c r="J16" s="40" t="s">
        <v>609</v>
      </c>
    </row>
    <row r="17" spans="6:10" ht="30" customHeight="1">
      <c r="F17" s="33" t="s">
        <v>708</v>
      </c>
      <c r="G17" s="23">
        <v>26</v>
      </c>
      <c r="H17" s="23">
        <v>3575600</v>
      </c>
      <c r="J17" s="40" t="s">
        <v>609</v>
      </c>
    </row>
    <row r="18" spans="6:10" ht="45" customHeight="1">
      <c r="F18" s="33" t="s">
        <v>560</v>
      </c>
      <c r="G18" s="23">
        <v>4</v>
      </c>
      <c r="H18" s="23" t="s">
        <v>559</v>
      </c>
      <c r="J18" s="40" t="s">
        <v>609</v>
      </c>
    </row>
  </sheetData>
  <autoFilter ref="A3:C10" xr:uid="{00000000-0009-0000-0000-000008000000}"/>
  <conditionalFormatting sqref="C1:C1048576">
    <cfRule type="duplicateValues" dxfId="7" priority="3"/>
  </conditionalFormatting>
  <conditionalFormatting sqref="H13">
    <cfRule type="duplicateValues" dxfId="6" priority="2"/>
  </conditionalFormatting>
  <conditionalFormatting sqref="H14">
    <cfRule type="duplicateValues" dxfId="5" priority="1"/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>
      <pane ySplit="1" topLeftCell="A2" activePane="bottomLeft" state="frozen"/>
      <selection pane="bottomLeft" activeCell="G8" sqref="G8"/>
    </sheetView>
  </sheetViews>
  <sheetFormatPr defaultRowHeight="14.4"/>
  <cols>
    <col min="1" max="1" width="60" style="27" customWidth="1"/>
    <col min="2" max="2" width="10" style="30" customWidth="1"/>
    <col min="3" max="3" width="10" customWidth="1"/>
  </cols>
  <sheetData>
    <row r="1" spans="1:3">
      <c r="A1" s="25" t="s">
        <v>724</v>
      </c>
      <c r="B1" s="28" t="s">
        <v>725</v>
      </c>
      <c r="C1" s="20" t="s">
        <v>3</v>
      </c>
    </row>
    <row r="2" spans="1:3" ht="15.75" customHeight="1" thickBot="1">
      <c r="A2" s="26" t="s">
        <v>67</v>
      </c>
      <c r="B2" s="29">
        <v>1</v>
      </c>
      <c r="C2" s="21">
        <v>5208300</v>
      </c>
    </row>
    <row r="3" spans="1:3" ht="60.75" customHeight="1" thickBot="1">
      <c r="A3" s="26" t="s">
        <v>477</v>
      </c>
      <c r="B3" s="29">
        <v>4</v>
      </c>
      <c r="C3" s="21">
        <v>8078700</v>
      </c>
    </row>
    <row r="4" spans="1:3" ht="60.75" customHeight="1" thickBot="1">
      <c r="A4" s="26" t="s">
        <v>611</v>
      </c>
      <c r="B4" s="29">
        <v>1</v>
      </c>
      <c r="C4" s="21" t="s">
        <v>610</v>
      </c>
    </row>
  </sheetData>
  <autoFilter ref="A1:C3" xr:uid="{00000000-0009-0000-0000-000009000000}"/>
  <conditionalFormatting sqref="C1:C1048576">
    <cfRule type="duplicateValues" dxfId="4" priority="1"/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workbookViewId="0">
      <pane ySplit="1" topLeftCell="A2" activePane="bottomLeft" state="frozen"/>
      <selection pane="bottomLeft" activeCell="K15" sqref="K15"/>
    </sheetView>
  </sheetViews>
  <sheetFormatPr defaultRowHeight="14.4"/>
  <cols>
    <col min="1" max="1" width="60" style="27" customWidth="1"/>
    <col min="2" max="2" width="10" style="30" customWidth="1"/>
    <col min="3" max="3" width="10" customWidth="1"/>
  </cols>
  <sheetData>
    <row r="1" spans="1:3">
      <c r="A1" s="25" t="s">
        <v>724</v>
      </c>
      <c r="B1" s="28" t="s">
        <v>725</v>
      </c>
      <c r="C1" s="20" t="s">
        <v>3</v>
      </c>
    </row>
    <row r="2" spans="1:3">
      <c r="A2" s="26" t="s">
        <v>303</v>
      </c>
      <c r="B2" s="29">
        <v>1</v>
      </c>
      <c r="C2" s="21">
        <v>7866000</v>
      </c>
    </row>
    <row r="3" spans="1:3" ht="90.75" customHeight="1" thickBot="1">
      <c r="A3" s="26" t="s">
        <v>508</v>
      </c>
      <c r="B3" s="29">
        <v>5</v>
      </c>
      <c r="C3" s="21">
        <v>7865500</v>
      </c>
    </row>
    <row r="4" spans="1:3" ht="75.75" customHeight="1" thickBot="1">
      <c r="A4" s="26" t="s">
        <v>634</v>
      </c>
      <c r="B4" s="29">
        <v>1</v>
      </c>
      <c r="C4" s="21">
        <v>7864900</v>
      </c>
    </row>
  </sheetData>
  <autoFilter ref="A1:C3" xr:uid="{00000000-0009-0000-0000-00000A000000}"/>
  <conditionalFormatting sqref="C1:C1048576">
    <cfRule type="duplicateValues" dxfId="3" priority="1"/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>
      <pane ySplit="1" topLeftCell="A2" activePane="bottomLeft" state="frozen"/>
      <selection pane="bottomLeft" activeCell="B5" sqref="B5"/>
    </sheetView>
  </sheetViews>
  <sheetFormatPr defaultRowHeight="14.4"/>
  <cols>
    <col min="1" max="1" width="60" style="27" customWidth="1"/>
    <col min="2" max="2" width="10" style="30" customWidth="1"/>
    <col min="3" max="3" width="10" customWidth="1"/>
  </cols>
  <sheetData>
    <row r="1" spans="1:3">
      <c r="A1" s="25" t="s">
        <v>724</v>
      </c>
      <c r="B1" s="28" t="s">
        <v>725</v>
      </c>
      <c r="C1" s="20" t="s">
        <v>3</v>
      </c>
    </row>
    <row r="2" spans="1:3" ht="45" customHeight="1">
      <c r="A2" s="26" t="s">
        <v>469</v>
      </c>
      <c r="B2" s="29">
        <v>106</v>
      </c>
      <c r="C2" s="21" t="s">
        <v>468</v>
      </c>
    </row>
    <row r="3" spans="1:3" ht="45" customHeight="1">
      <c r="A3" s="26" t="s">
        <v>471</v>
      </c>
      <c r="B3" s="29">
        <v>96</v>
      </c>
      <c r="C3" s="21" t="s">
        <v>470</v>
      </c>
    </row>
    <row r="4" spans="1:3">
      <c r="A4" s="26" t="s">
        <v>462</v>
      </c>
      <c r="B4" s="29">
        <v>58</v>
      </c>
      <c r="C4" s="21">
        <v>4139700</v>
      </c>
    </row>
    <row r="5" spans="1:3">
      <c r="A5" s="26" t="s">
        <v>465</v>
      </c>
      <c r="B5" s="29">
        <v>80</v>
      </c>
      <c r="C5" s="21">
        <v>3708400</v>
      </c>
    </row>
    <row r="6" spans="1:3" ht="30" customHeight="1">
      <c r="A6" s="26" t="s">
        <v>464</v>
      </c>
      <c r="B6" s="29">
        <v>70</v>
      </c>
      <c r="C6" s="21" t="s">
        <v>463</v>
      </c>
    </row>
    <row r="7" spans="1:3">
      <c r="A7" s="26" t="s">
        <v>562</v>
      </c>
      <c r="B7" s="29">
        <v>12</v>
      </c>
      <c r="C7" s="21">
        <v>4159600</v>
      </c>
    </row>
  </sheetData>
  <autoFilter ref="A1:C7" xr:uid="{00000000-0009-0000-0000-00000B000000}"/>
  <conditionalFormatting sqref="C1:C1048576">
    <cfRule type="duplicateValues" dxfId="2" priority="1"/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workbookViewId="0">
      <pane ySplit="1" topLeftCell="A2" activePane="bottomLeft" state="frozen"/>
      <selection pane="bottomLeft" activeCell="B7" sqref="B7"/>
    </sheetView>
  </sheetViews>
  <sheetFormatPr defaultRowHeight="14.4"/>
  <cols>
    <col min="1" max="1" width="60" style="27" customWidth="1"/>
    <col min="2" max="2" width="10" style="30" customWidth="1"/>
    <col min="3" max="3" width="11" customWidth="1"/>
  </cols>
  <sheetData>
    <row r="1" spans="1:3">
      <c r="A1" s="25" t="s">
        <v>724</v>
      </c>
      <c r="B1" s="28" t="s">
        <v>725</v>
      </c>
      <c r="C1" s="20" t="s">
        <v>3</v>
      </c>
    </row>
    <row r="2" spans="1:3" ht="60" customHeight="1">
      <c r="A2" s="26" t="s">
        <v>455</v>
      </c>
      <c r="B2" s="29">
        <v>10</v>
      </c>
      <c r="C2" s="21" t="s">
        <v>454</v>
      </c>
    </row>
    <row r="3" spans="1:3" ht="75" customHeight="1">
      <c r="A3" s="26" t="s">
        <v>453</v>
      </c>
      <c r="B3" s="29">
        <v>20</v>
      </c>
      <c r="C3" s="21" t="s">
        <v>452</v>
      </c>
    </row>
    <row r="4" spans="1:3" ht="150" customHeight="1">
      <c r="A4" s="26" t="s">
        <v>448</v>
      </c>
      <c r="B4" s="29">
        <v>11</v>
      </c>
      <c r="C4" s="21">
        <v>4676200</v>
      </c>
    </row>
    <row r="5" spans="1:3" ht="60" customHeight="1">
      <c r="A5" s="26" t="s">
        <v>450</v>
      </c>
      <c r="B5" s="29">
        <v>10</v>
      </c>
      <c r="C5" s="21" t="s">
        <v>449</v>
      </c>
    </row>
    <row r="6" spans="1:3" ht="75" customHeight="1">
      <c r="A6" s="26" t="s">
        <v>457</v>
      </c>
      <c r="B6" s="29">
        <v>10</v>
      </c>
      <c r="C6" s="21" t="s">
        <v>456</v>
      </c>
    </row>
  </sheetData>
  <autoFilter ref="A1:C6" xr:uid="{00000000-0009-0000-0000-00000C000000}"/>
  <conditionalFormatting sqref="A1:A1048576">
    <cfRule type="duplicateValues" dxfId="1" priority="1"/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"/>
  <sheetViews>
    <sheetView workbookViewId="0">
      <pane ySplit="1" topLeftCell="A2" activePane="bottomLeft" state="frozen"/>
      <selection pane="bottomLeft" activeCell="B3" sqref="B3"/>
    </sheetView>
  </sheetViews>
  <sheetFormatPr defaultRowHeight="14.4"/>
  <cols>
    <col min="1" max="1" width="60" style="27" customWidth="1"/>
    <col min="2" max="2" width="10" style="30" customWidth="1"/>
    <col min="3" max="3" width="10" customWidth="1"/>
  </cols>
  <sheetData>
    <row r="1" spans="1:3" ht="15.75" customHeight="1" thickBot="1">
      <c r="A1" s="25" t="s">
        <v>724</v>
      </c>
      <c r="B1" s="28" t="s">
        <v>725</v>
      </c>
      <c r="C1" s="20" t="s">
        <v>754</v>
      </c>
    </row>
    <row r="2" spans="1:3" ht="210.75" customHeight="1" thickBot="1">
      <c r="A2" s="26" t="s">
        <v>605</v>
      </c>
      <c r="B2" s="29">
        <v>4</v>
      </c>
      <c r="C2" s="21">
        <v>4206100</v>
      </c>
    </row>
    <row r="3" spans="1:3" ht="120.75" customHeight="1" thickBot="1">
      <c r="A3" s="26" t="s">
        <v>459</v>
      </c>
      <c r="B3" s="29">
        <v>2</v>
      </c>
      <c r="C3" s="21">
        <v>4895300</v>
      </c>
    </row>
    <row r="4" spans="1:3" ht="165.75" customHeight="1" thickBot="1">
      <c r="A4" s="26" t="s">
        <v>606</v>
      </c>
      <c r="B4" s="29">
        <v>7</v>
      </c>
      <c r="C4" s="21">
        <v>5257900</v>
      </c>
    </row>
  </sheetData>
  <autoFilter ref="A1:C4" xr:uid="{00000000-0009-0000-0000-00000D000000}"/>
  <conditionalFormatting sqref="C1:C1048576">
    <cfRule type="duplicateValues" dxfId="0" priority="1"/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11"/>
  <sheetViews>
    <sheetView workbookViewId="0">
      <pane ySplit="1" topLeftCell="A2" activePane="bottomLeft" state="frozen"/>
      <selection pane="bottomLeft" activeCell="J13" sqref="J13"/>
    </sheetView>
  </sheetViews>
  <sheetFormatPr defaultRowHeight="14.4"/>
  <cols>
    <col min="1" max="10" width="10" customWidth="1"/>
    <col min="11" max="11" width="60" customWidth="1"/>
    <col min="12" max="12" width="12" customWidth="1"/>
    <col min="13" max="14" width="10" customWidth="1"/>
    <col min="15" max="15" width="42" hidden="1" customWidth="1"/>
    <col min="16" max="21" width="10" hidden="1" customWidth="1"/>
    <col min="22" max="22" width="13" hidden="1" customWidth="1"/>
    <col min="23" max="23" width="10" customWidth="1"/>
    <col min="24" max="25" width="13" customWidth="1"/>
    <col min="26" max="26" width="10" customWidth="1"/>
    <col min="27" max="27" width="38" customWidth="1"/>
    <col min="28" max="28" width="11" customWidth="1"/>
    <col min="29" max="29" width="14" customWidth="1"/>
    <col min="30" max="30" width="28" customWidth="1"/>
    <col min="31" max="31" width="10" customWidth="1"/>
    <col min="32" max="33" width="13" customWidth="1"/>
    <col min="34" max="34" width="16" customWidth="1"/>
    <col min="35" max="37" width="10" customWidth="1"/>
    <col min="38" max="38" width="15" customWidth="1"/>
    <col min="39" max="40" width="10" customWidth="1"/>
    <col min="41" max="41" width="13" customWidth="1"/>
    <col min="42" max="42" width="19" customWidth="1"/>
  </cols>
  <sheetData>
    <row r="1" spans="1:4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755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756</v>
      </c>
      <c r="W1" s="24" t="s">
        <v>20</v>
      </c>
      <c r="X1" s="24" t="s">
        <v>21</v>
      </c>
      <c r="Y1" s="24" t="s">
        <v>757</v>
      </c>
      <c r="Z1" s="24" t="s">
        <v>22</v>
      </c>
      <c r="AA1" s="24" t="s">
        <v>23</v>
      </c>
      <c r="AB1" s="24" t="s">
        <v>24</v>
      </c>
      <c r="AC1" s="24" t="s">
        <v>25</v>
      </c>
      <c r="AD1" s="24" t="s">
        <v>26</v>
      </c>
      <c r="AE1" s="24" t="s">
        <v>27</v>
      </c>
      <c r="AF1" s="24" t="s">
        <v>758</v>
      </c>
      <c r="AG1" s="24" t="s">
        <v>28</v>
      </c>
      <c r="AH1" s="24" t="s">
        <v>29</v>
      </c>
      <c r="AI1" s="24" t="s">
        <v>30</v>
      </c>
      <c r="AJ1" s="24" t="s">
        <v>31</v>
      </c>
      <c r="AK1" s="24" t="s">
        <v>759</v>
      </c>
      <c r="AL1" s="24" t="s">
        <v>33</v>
      </c>
      <c r="AM1" s="24" t="s">
        <v>34</v>
      </c>
      <c r="AN1" s="24" t="s">
        <v>35</v>
      </c>
      <c r="AO1" s="24" t="s">
        <v>36</v>
      </c>
      <c r="AP1" s="24" t="s">
        <v>37</v>
      </c>
    </row>
    <row r="2" spans="1:42">
      <c r="A2" s="23">
        <v>2605</v>
      </c>
      <c r="B2" s="23" t="s">
        <v>86</v>
      </c>
      <c r="C2" s="23">
        <v>1</v>
      </c>
      <c r="D2" s="23">
        <v>6406100</v>
      </c>
      <c r="E2" s="23">
        <v>2</v>
      </c>
      <c r="F2" s="23">
        <v>0.64900000000000002</v>
      </c>
      <c r="G2" s="23" t="s">
        <v>99</v>
      </c>
      <c r="H2" s="23">
        <v>513</v>
      </c>
      <c r="I2" s="23" t="s">
        <v>91</v>
      </c>
      <c r="J2" s="23">
        <v>633</v>
      </c>
      <c r="K2" s="23" t="s">
        <v>598</v>
      </c>
      <c r="L2" s="23" t="s">
        <v>552</v>
      </c>
      <c r="M2" s="23"/>
      <c r="N2" s="23"/>
      <c r="O2" s="23"/>
      <c r="P2" s="23"/>
      <c r="Q2" s="23"/>
      <c r="R2" s="23"/>
      <c r="S2" s="23" t="s">
        <v>50</v>
      </c>
      <c r="T2" s="23"/>
      <c r="U2" s="23" t="s">
        <v>17</v>
      </c>
      <c r="V2" s="23"/>
      <c r="W2" s="23">
        <v>0</v>
      </c>
      <c r="X2" s="23"/>
      <c r="Y2" s="23"/>
      <c r="Z2" s="23" t="s">
        <v>372</v>
      </c>
      <c r="AA2" s="23" t="s">
        <v>568</v>
      </c>
      <c r="AB2" s="23" t="s">
        <v>567</v>
      </c>
      <c r="AC2" s="23" t="s">
        <v>413</v>
      </c>
      <c r="AD2" s="23"/>
      <c r="AE2" s="23"/>
      <c r="AF2" s="23"/>
      <c r="AG2" s="23"/>
      <c r="AH2" s="23"/>
      <c r="AI2" s="23">
        <v>45681129</v>
      </c>
      <c r="AJ2" s="23"/>
      <c r="AK2" s="23"/>
      <c r="AL2" s="23"/>
      <c r="AM2" s="23"/>
      <c r="AN2" s="23"/>
      <c r="AO2" s="23"/>
      <c r="AP2" s="23"/>
    </row>
    <row r="3" spans="1:42">
      <c r="A3" s="23">
        <v>3203</v>
      </c>
      <c r="B3" s="23" t="s">
        <v>86</v>
      </c>
      <c r="C3" s="23">
        <v>1</v>
      </c>
      <c r="D3" s="23">
        <v>6406100</v>
      </c>
      <c r="E3" s="23">
        <v>2</v>
      </c>
      <c r="F3" s="23">
        <v>0.64900000000000002</v>
      </c>
      <c r="G3" s="23" t="s">
        <v>99</v>
      </c>
      <c r="H3" s="23">
        <v>513</v>
      </c>
      <c r="I3" s="23" t="s">
        <v>91</v>
      </c>
      <c r="J3" s="23">
        <v>633</v>
      </c>
      <c r="K3" s="23" t="s">
        <v>598</v>
      </c>
      <c r="L3" s="23" t="s">
        <v>552</v>
      </c>
      <c r="M3" s="23"/>
      <c r="N3" s="23"/>
      <c r="O3" s="23"/>
      <c r="P3" s="23"/>
      <c r="Q3" s="23"/>
      <c r="R3" s="23"/>
      <c r="S3" s="23" t="s">
        <v>50</v>
      </c>
      <c r="T3" s="23"/>
      <c r="U3" s="23" t="s">
        <v>17</v>
      </c>
      <c r="V3" s="23"/>
      <c r="W3" s="23">
        <v>0</v>
      </c>
      <c r="X3" s="23"/>
      <c r="Y3" s="23"/>
      <c r="Z3" s="23" t="s">
        <v>372</v>
      </c>
      <c r="AA3" s="23" t="s">
        <v>476</v>
      </c>
      <c r="AB3" s="23" t="s">
        <v>603</v>
      </c>
      <c r="AC3" s="23" t="s">
        <v>413</v>
      </c>
      <c r="AD3" s="23"/>
      <c r="AE3" s="23"/>
      <c r="AF3" s="23"/>
      <c r="AG3" s="23"/>
      <c r="AH3" s="23"/>
      <c r="AI3" s="23">
        <v>45681129</v>
      </c>
      <c r="AJ3" s="23"/>
      <c r="AK3" s="23"/>
      <c r="AL3" s="23"/>
      <c r="AM3" s="23"/>
      <c r="AN3" s="23"/>
      <c r="AO3" s="23"/>
      <c r="AP3" s="23"/>
    </row>
    <row r="4" spans="1:42">
      <c r="A4" s="23">
        <v>290</v>
      </c>
      <c r="B4" s="23" t="s">
        <v>289</v>
      </c>
      <c r="C4" s="23">
        <v>1</v>
      </c>
      <c r="D4" s="23">
        <v>6406100</v>
      </c>
      <c r="E4" s="23">
        <v>1</v>
      </c>
      <c r="F4" s="23">
        <v>0.40899999999999997</v>
      </c>
      <c r="G4" s="23" t="s">
        <v>99</v>
      </c>
      <c r="H4" s="23">
        <v>753</v>
      </c>
      <c r="I4" s="23" t="s">
        <v>91</v>
      </c>
      <c r="J4" s="23">
        <v>543</v>
      </c>
      <c r="K4" s="23" t="s">
        <v>371</v>
      </c>
      <c r="L4" s="23" t="s">
        <v>370</v>
      </c>
      <c r="M4" s="23"/>
      <c r="N4" s="23"/>
      <c r="O4" s="23"/>
      <c r="P4" s="23"/>
      <c r="Q4" s="23"/>
      <c r="R4" s="23"/>
      <c r="S4" s="23" t="s">
        <v>50</v>
      </c>
      <c r="T4" s="23"/>
      <c r="U4" s="23" t="s">
        <v>17</v>
      </c>
      <c r="V4" s="23"/>
      <c r="W4" s="23">
        <v>0</v>
      </c>
      <c r="X4" s="23"/>
      <c r="Y4" s="23"/>
      <c r="Z4" s="23" t="s">
        <v>372</v>
      </c>
      <c r="AA4" s="23" t="s">
        <v>49</v>
      </c>
      <c r="AB4" s="23" t="s">
        <v>47</v>
      </c>
      <c r="AC4" s="23" t="s">
        <v>324</v>
      </c>
      <c r="AD4" s="23"/>
      <c r="AE4" s="23"/>
      <c r="AF4" s="23"/>
      <c r="AG4" s="23"/>
      <c r="AH4" s="23"/>
      <c r="AI4" s="23">
        <v>45681129</v>
      </c>
      <c r="AJ4" s="23"/>
      <c r="AK4" s="23"/>
      <c r="AL4" s="23"/>
      <c r="AM4" s="23"/>
      <c r="AN4" s="23"/>
      <c r="AO4" s="23"/>
      <c r="AP4" s="23"/>
    </row>
    <row r="5" spans="1:42">
      <c r="A5" s="23">
        <v>850</v>
      </c>
      <c r="B5" s="23" t="s">
        <v>86</v>
      </c>
      <c r="C5" s="23">
        <v>1</v>
      </c>
      <c r="D5" s="23">
        <v>6406100</v>
      </c>
      <c r="E5" s="23">
        <v>1</v>
      </c>
      <c r="F5" s="23">
        <v>0.81399999999999995</v>
      </c>
      <c r="G5" s="23" t="s">
        <v>99</v>
      </c>
      <c r="H5" s="23">
        <v>933</v>
      </c>
      <c r="I5" s="23" t="s">
        <v>91</v>
      </c>
      <c r="J5" s="23">
        <v>873</v>
      </c>
      <c r="K5" s="23" t="s">
        <v>371</v>
      </c>
      <c r="L5" s="23" t="s">
        <v>442</v>
      </c>
      <c r="M5" s="23"/>
      <c r="N5" s="23"/>
      <c r="O5" s="23"/>
      <c r="P5" s="23"/>
      <c r="Q5" s="23"/>
      <c r="R5" s="23"/>
      <c r="S5" s="23" t="s">
        <v>50</v>
      </c>
      <c r="T5" s="23"/>
      <c r="U5" s="23" t="s">
        <v>17</v>
      </c>
      <c r="V5" s="23"/>
      <c r="W5" s="23">
        <v>0</v>
      </c>
      <c r="X5" s="23"/>
      <c r="Y5" s="23"/>
      <c r="Z5" s="23" t="s">
        <v>372</v>
      </c>
      <c r="AA5" s="23" t="s">
        <v>49</v>
      </c>
      <c r="AB5" s="23" t="s">
        <v>47</v>
      </c>
      <c r="AC5" s="23" t="s">
        <v>413</v>
      </c>
      <c r="AD5" s="23"/>
      <c r="AE5" s="23"/>
      <c r="AF5" s="23"/>
      <c r="AG5" s="23"/>
      <c r="AH5" s="23"/>
      <c r="AI5" s="23">
        <v>45681129</v>
      </c>
      <c r="AJ5" s="23"/>
      <c r="AK5" s="23"/>
      <c r="AL5" s="23"/>
      <c r="AM5" s="23"/>
      <c r="AN5" s="23"/>
      <c r="AO5" s="23"/>
      <c r="AP5" s="23"/>
    </row>
    <row r="6" spans="1:42">
      <c r="A6" s="23">
        <v>1431</v>
      </c>
      <c r="B6" s="23" t="s">
        <v>86</v>
      </c>
      <c r="C6" s="23">
        <v>1</v>
      </c>
      <c r="D6" s="23">
        <v>6406100</v>
      </c>
      <c r="E6" s="23">
        <v>2</v>
      </c>
      <c r="F6" s="23">
        <v>0.64900000000000002</v>
      </c>
      <c r="G6" s="23" t="s">
        <v>99</v>
      </c>
      <c r="H6" s="23">
        <v>513</v>
      </c>
      <c r="I6" s="23" t="s">
        <v>91</v>
      </c>
      <c r="J6" s="23">
        <v>633</v>
      </c>
      <c r="K6" s="23" t="s">
        <v>371</v>
      </c>
      <c r="L6" s="23" t="s">
        <v>552</v>
      </c>
      <c r="M6" s="23"/>
      <c r="N6" s="23"/>
      <c r="O6" s="23"/>
      <c r="P6" s="23"/>
      <c r="Q6" s="23"/>
      <c r="R6" s="23"/>
      <c r="S6" s="23" t="s">
        <v>50</v>
      </c>
      <c r="T6" s="23"/>
      <c r="U6" s="23" t="s">
        <v>17</v>
      </c>
      <c r="V6" s="23"/>
      <c r="W6" s="23">
        <v>0</v>
      </c>
      <c r="X6" s="23"/>
      <c r="Y6" s="23"/>
      <c r="Z6" s="23" t="s">
        <v>372</v>
      </c>
      <c r="AA6" s="23" t="s">
        <v>476</v>
      </c>
      <c r="AB6" s="23" t="s">
        <v>475</v>
      </c>
      <c r="AC6" s="23" t="s">
        <v>413</v>
      </c>
      <c r="AD6" s="23"/>
      <c r="AE6" s="23"/>
      <c r="AF6" s="23"/>
      <c r="AG6" s="23"/>
      <c r="AH6" s="23"/>
      <c r="AI6" s="23">
        <v>45681129</v>
      </c>
      <c r="AJ6" s="23"/>
      <c r="AK6" s="23"/>
      <c r="AL6" s="23"/>
      <c r="AM6" s="23"/>
      <c r="AN6" s="23"/>
      <c r="AO6" s="23"/>
      <c r="AP6" s="23"/>
    </row>
    <row r="7" spans="1:42">
      <c r="A7" s="23">
        <v>2003</v>
      </c>
      <c r="B7" s="23" t="s">
        <v>86</v>
      </c>
      <c r="C7" s="23">
        <v>1</v>
      </c>
      <c r="D7" s="23">
        <v>6406100</v>
      </c>
      <c r="E7" s="23">
        <v>2</v>
      </c>
      <c r="F7" s="23">
        <v>0.64900000000000002</v>
      </c>
      <c r="G7" s="23" t="s">
        <v>99</v>
      </c>
      <c r="H7" s="23">
        <v>513</v>
      </c>
      <c r="I7" s="23" t="s">
        <v>91</v>
      </c>
      <c r="J7" s="23">
        <v>633</v>
      </c>
      <c r="K7" s="23" t="s">
        <v>371</v>
      </c>
      <c r="L7" s="23" t="s">
        <v>552</v>
      </c>
      <c r="M7" s="23"/>
      <c r="N7" s="23"/>
      <c r="O7" s="23"/>
      <c r="P7" s="23"/>
      <c r="Q7" s="23"/>
      <c r="R7" s="23"/>
      <c r="S7" s="23" t="s">
        <v>50</v>
      </c>
      <c r="T7" s="23"/>
      <c r="U7" s="23" t="s">
        <v>17</v>
      </c>
      <c r="V7" s="23"/>
      <c r="W7" s="23">
        <v>0</v>
      </c>
      <c r="X7" s="23"/>
      <c r="Y7" s="23"/>
      <c r="Z7" s="23" t="s">
        <v>372</v>
      </c>
      <c r="AA7" s="23" t="s">
        <v>476</v>
      </c>
      <c r="AB7" s="23" t="s">
        <v>563</v>
      </c>
      <c r="AC7" s="23" t="s">
        <v>413</v>
      </c>
      <c r="AD7" s="23"/>
      <c r="AE7" s="23"/>
      <c r="AF7" s="23"/>
      <c r="AG7" s="23"/>
      <c r="AH7" s="23"/>
      <c r="AI7" s="23">
        <v>45681129</v>
      </c>
      <c r="AJ7" s="23"/>
      <c r="AK7" s="23"/>
      <c r="AL7" s="23"/>
      <c r="AM7" s="23"/>
      <c r="AN7" s="23"/>
      <c r="AO7" s="23"/>
      <c r="AP7" s="23"/>
    </row>
    <row r="8" spans="1:42" s="39" customFormat="1">
      <c r="A8" s="23">
        <v>266</v>
      </c>
      <c r="B8" s="23" t="s">
        <v>289</v>
      </c>
      <c r="C8" s="23">
        <v>1</v>
      </c>
      <c r="D8" s="23">
        <v>3727300</v>
      </c>
      <c r="E8" s="23">
        <v>6</v>
      </c>
      <c r="F8" s="23">
        <v>1.847</v>
      </c>
      <c r="G8" s="23" t="s">
        <v>99</v>
      </c>
      <c r="H8" s="23">
        <v>2013</v>
      </c>
      <c r="I8" s="23" t="s">
        <v>91</v>
      </c>
      <c r="J8" s="23">
        <v>153</v>
      </c>
      <c r="K8" s="23" t="s">
        <v>674</v>
      </c>
      <c r="L8" s="23">
        <v>41599</v>
      </c>
      <c r="M8" s="23"/>
      <c r="N8" s="23"/>
      <c r="O8" s="23"/>
      <c r="P8" s="23"/>
      <c r="Q8" s="23"/>
      <c r="R8" s="23"/>
      <c r="S8" s="23" t="s">
        <v>50</v>
      </c>
      <c r="T8" s="23"/>
      <c r="U8" s="23" t="s">
        <v>17</v>
      </c>
      <c r="V8" s="23"/>
      <c r="W8" s="23">
        <v>3.7</v>
      </c>
      <c r="X8" s="23"/>
      <c r="Y8" s="23"/>
      <c r="Z8" s="23" t="s">
        <v>372</v>
      </c>
      <c r="AA8" s="23" t="s">
        <v>608</v>
      </c>
      <c r="AB8" s="23" t="s">
        <v>607</v>
      </c>
      <c r="AC8" s="23" t="s">
        <v>383</v>
      </c>
      <c r="AD8" s="23"/>
      <c r="AE8" s="23"/>
      <c r="AF8" s="23"/>
      <c r="AG8" s="23"/>
      <c r="AH8" s="23"/>
      <c r="AI8" s="23">
        <v>45681129</v>
      </c>
      <c r="AJ8" s="23"/>
      <c r="AK8" s="23"/>
      <c r="AL8" s="23"/>
      <c r="AM8" s="23"/>
      <c r="AN8" s="23"/>
      <c r="AO8" s="23"/>
      <c r="AP8" s="23"/>
    </row>
    <row r="9" spans="1:42" s="39" customFormat="1">
      <c r="A9" s="23">
        <v>236</v>
      </c>
      <c r="B9" s="23" t="s">
        <v>289</v>
      </c>
      <c r="C9" s="23">
        <v>1</v>
      </c>
      <c r="D9" s="23">
        <v>3727300</v>
      </c>
      <c r="E9" s="23">
        <v>2</v>
      </c>
      <c r="F9" s="23">
        <v>0.46</v>
      </c>
      <c r="G9" s="23" t="s">
        <v>99</v>
      </c>
      <c r="H9" s="23">
        <v>1503</v>
      </c>
      <c r="I9" s="23" t="s">
        <v>91</v>
      </c>
      <c r="J9" s="23">
        <v>153</v>
      </c>
      <c r="K9" s="23" t="s">
        <v>672</v>
      </c>
      <c r="L9" s="23">
        <v>41599</v>
      </c>
      <c r="M9" s="23"/>
      <c r="N9" s="23"/>
      <c r="O9" s="23"/>
      <c r="P9" s="23"/>
      <c r="Q9" s="23"/>
      <c r="R9" s="23"/>
      <c r="S9" s="23" t="s">
        <v>50</v>
      </c>
      <c r="T9" s="23"/>
      <c r="U9" s="23" t="s">
        <v>17</v>
      </c>
      <c r="V9" s="23"/>
      <c r="W9" s="23">
        <v>3.7</v>
      </c>
      <c r="X9" s="23"/>
      <c r="Y9" s="23"/>
      <c r="Z9" s="23" t="s">
        <v>372</v>
      </c>
      <c r="AA9" s="23" t="s">
        <v>608</v>
      </c>
      <c r="AB9" s="23" t="s">
        <v>607</v>
      </c>
      <c r="AC9" s="23" t="s">
        <v>383</v>
      </c>
      <c r="AD9" s="23"/>
      <c r="AE9" s="23"/>
      <c r="AF9" s="23"/>
      <c r="AG9" s="23"/>
      <c r="AH9" s="23"/>
      <c r="AI9" s="23">
        <v>45681129</v>
      </c>
      <c r="AJ9" s="23"/>
      <c r="AK9" s="23"/>
      <c r="AL9" s="23"/>
      <c r="AM9" s="23"/>
      <c r="AN9" s="23"/>
      <c r="AO9" s="23"/>
      <c r="AP9" s="23"/>
    </row>
    <row r="10" spans="1:42" s="39" customFormat="1">
      <c r="A10" s="23">
        <v>283</v>
      </c>
      <c r="B10" s="23" t="s">
        <v>90</v>
      </c>
      <c r="C10" s="23">
        <v>1</v>
      </c>
      <c r="D10" s="23">
        <v>3727300</v>
      </c>
      <c r="E10" s="23">
        <v>2</v>
      </c>
      <c r="F10" s="23">
        <v>0.76400000000000001</v>
      </c>
      <c r="G10" s="23" t="s">
        <v>99</v>
      </c>
      <c r="H10" s="23">
        <v>2496</v>
      </c>
      <c r="I10" s="23" t="s">
        <v>91</v>
      </c>
      <c r="J10" s="23">
        <v>153</v>
      </c>
      <c r="K10" s="23" t="s">
        <v>672</v>
      </c>
      <c r="L10" s="23">
        <v>41599</v>
      </c>
      <c r="M10" s="23"/>
      <c r="N10" s="23"/>
      <c r="O10" s="23"/>
      <c r="P10" s="23"/>
      <c r="Q10" s="23"/>
      <c r="R10" s="23"/>
      <c r="S10" s="23" t="s">
        <v>50</v>
      </c>
      <c r="T10" s="23"/>
      <c r="U10" s="23" t="s">
        <v>17</v>
      </c>
      <c r="V10" s="23"/>
      <c r="W10" s="23">
        <v>3.7</v>
      </c>
      <c r="X10" s="23"/>
      <c r="Y10" s="23"/>
      <c r="Z10" s="23" t="s">
        <v>372</v>
      </c>
      <c r="AA10" s="23" t="s">
        <v>608</v>
      </c>
      <c r="AB10" s="23" t="s">
        <v>607</v>
      </c>
      <c r="AC10" s="23" t="s">
        <v>383</v>
      </c>
      <c r="AD10" s="23"/>
      <c r="AE10" s="23"/>
      <c r="AF10" s="23"/>
      <c r="AG10" s="23"/>
      <c r="AH10" s="23"/>
      <c r="AI10" s="23">
        <v>45681129</v>
      </c>
      <c r="AJ10" s="23"/>
      <c r="AK10" s="23"/>
      <c r="AL10" s="23"/>
      <c r="AM10" s="23"/>
      <c r="AN10" s="23"/>
      <c r="AO10" s="23"/>
      <c r="AP10" s="23"/>
    </row>
    <row r="11" spans="1:42" s="39" customFormat="1">
      <c r="A11" s="23">
        <v>368</v>
      </c>
      <c r="B11" s="23" t="s">
        <v>90</v>
      </c>
      <c r="C11" s="23">
        <v>1</v>
      </c>
      <c r="D11" s="23">
        <v>3727300</v>
      </c>
      <c r="E11" s="23">
        <v>4</v>
      </c>
      <c r="F11" s="23">
        <v>2.0760000000000001</v>
      </c>
      <c r="G11" s="23" t="s">
        <v>99</v>
      </c>
      <c r="H11" s="23">
        <v>783</v>
      </c>
      <c r="I11" s="23" t="s">
        <v>91</v>
      </c>
      <c r="J11" s="23">
        <v>663</v>
      </c>
      <c r="K11" s="23" t="s">
        <v>672</v>
      </c>
      <c r="L11" s="23" t="s">
        <v>685</v>
      </c>
      <c r="M11" s="23"/>
      <c r="N11" s="23"/>
      <c r="O11" s="23"/>
      <c r="P11" s="23"/>
      <c r="Q11" s="23"/>
      <c r="R11" s="23"/>
      <c r="S11" s="23" t="s">
        <v>50</v>
      </c>
      <c r="T11" s="23"/>
      <c r="U11" s="23" t="s">
        <v>17</v>
      </c>
      <c r="V11" s="23"/>
      <c r="W11" s="23">
        <v>3.7</v>
      </c>
      <c r="X11" s="23"/>
      <c r="Y11" s="23"/>
      <c r="Z11" s="23" t="s">
        <v>372</v>
      </c>
      <c r="AA11" s="23" t="s">
        <v>608</v>
      </c>
      <c r="AB11" s="23" t="s">
        <v>607</v>
      </c>
      <c r="AC11" s="23" t="s">
        <v>413</v>
      </c>
      <c r="AD11" s="23"/>
      <c r="AE11" s="23"/>
      <c r="AF11" s="23"/>
      <c r="AG11" s="23"/>
      <c r="AH11" s="23"/>
      <c r="AI11" s="23">
        <v>45681129</v>
      </c>
      <c r="AJ11" s="23"/>
      <c r="AK11" s="23"/>
      <c r="AL11" s="23"/>
      <c r="AM11" s="23"/>
      <c r="AN11" s="23"/>
      <c r="AO11" s="23"/>
      <c r="AP11" s="23"/>
    </row>
  </sheetData>
  <autoFilter ref="A1:AP7" xr:uid="{00000000-0009-0000-0000-00000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WYKAZ</vt:lpstr>
      <vt:lpstr>ZŁĄCZNE</vt:lpstr>
      <vt:lpstr>PROFILE</vt:lpstr>
      <vt:lpstr>GUMA</vt:lpstr>
      <vt:lpstr>GUMOWANIE</vt:lpstr>
      <vt:lpstr>BEBNY</vt:lpstr>
      <vt:lpstr>INNE</vt:lpstr>
      <vt:lpstr>ŁOŻYSKA</vt:lpstr>
      <vt:lpstr>ROLKI</vt:lpstr>
      <vt:lpstr>TAŚMA</vt:lpstr>
      <vt:lpstr>ZDZIERAK</vt:lpstr>
      <vt:lpstr>ELEKTRO</vt:lpstr>
      <vt:lpstr>RA CONTROLS</vt:lpstr>
      <vt:lpstr>NEW TECH</vt:lpstr>
      <vt:lpstr>SIATKI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Bartlomiej Kucaba</cp:lastModifiedBy>
  <dcterms:created xsi:type="dcterms:W3CDTF">2026-09-10T11:55:09Z</dcterms:created>
  <dcterms:modified xsi:type="dcterms:W3CDTF">2026-09-18T09:21:27Z</dcterms:modified>
</cp:coreProperties>
</file>