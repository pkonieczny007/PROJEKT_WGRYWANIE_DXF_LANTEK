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Lantek\IMPORTER_XLS2XML - wykonane\"/>
    </mc:Choice>
  </mc:AlternateContent>
  <xr:revisionPtr revIDLastSave="0" documentId="13_ncr:1_{2B0F59FB-C135-42EE-A557-59D70C13E4B5}" xr6:coauthVersionLast="47" xr6:coauthVersionMax="47" xr10:uidLastSave="{00000000-0000-0000-0000-000000000000}"/>
  <bookViews>
    <workbookView xWindow="-10725" yWindow="-13800" windowWidth="23250" windowHeight="12450" xr2:uid="{EBC82064-5042-414A-811A-2342F679788B}"/>
  </bookViews>
  <sheets>
    <sheet name="Sheet Parts" sheetId="1" r:id="rId1"/>
    <sheet name="Beam Parts" sheetId="2" r:id="rId2"/>
    <sheet name="Common Items" sheetId="6" r:id="rId3"/>
    <sheet name="Sheets" sheetId="4" r:id="rId4"/>
    <sheet name="Profiles" sheetId="5" r:id="rId5"/>
    <sheet name="Constants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4" l="1"/>
</calcChain>
</file>

<file path=xl/sharedStrings.xml><?xml version="1.0" encoding="utf-8"?>
<sst xmlns="http://schemas.openxmlformats.org/spreadsheetml/2006/main" count="265" uniqueCount="143">
  <si>
    <t>LP</t>
  </si>
  <si>
    <t>Image</t>
  </si>
  <si>
    <t>Part's Reference</t>
  </si>
  <si>
    <t>Part's Name</t>
  </si>
  <si>
    <t>Material</t>
  </si>
  <si>
    <t>Thickness [mm]</t>
  </si>
  <si>
    <t>Quantity</t>
  </si>
  <si>
    <t>Priority</t>
  </si>
  <si>
    <t>UserData 1</t>
  </si>
  <si>
    <t>UserData 2</t>
  </si>
  <si>
    <t>UserData 3</t>
  </si>
  <si>
    <t>UserData 4</t>
  </si>
  <si>
    <t>UserData 5</t>
  </si>
  <si>
    <t>UserData 6</t>
  </si>
  <si>
    <t>UserData 7</t>
  </si>
  <si>
    <t>UserData 8</t>
  </si>
  <si>
    <t>Customer</t>
  </si>
  <si>
    <t>Sale Order</t>
  </si>
  <si>
    <t>Manufacturing Order</t>
  </si>
  <si>
    <t>Description</t>
  </si>
  <si>
    <t>Delivery Date</t>
  </si>
  <si>
    <t>Length [mm]</t>
  </si>
  <si>
    <t>Profile</t>
  </si>
  <si>
    <t>2D Cut Machine name</t>
  </si>
  <si>
    <t>3D Cut Machine name</t>
  </si>
  <si>
    <t>XML File export path</t>
  </si>
  <si>
    <t>Part's Index</t>
  </si>
  <si>
    <t>Geometry Filename (no ext.)</t>
  </si>
  <si>
    <t>Geometry Format</t>
  </si>
  <si>
    <t>Width [mm]</t>
  </si>
  <si>
    <t>Lantek installation path</t>
  </si>
  <si>
    <t>Machine1</t>
  </si>
  <si>
    <t>Operation1</t>
  </si>
  <si>
    <t>Estimated Time 1</t>
  </si>
  <si>
    <t>2D Cut</t>
  </si>
  <si>
    <t>Machine2</t>
  </si>
  <si>
    <t>Operation2</t>
  </si>
  <si>
    <t>Estimated Time 2</t>
  </si>
  <si>
    <t>Machine3</t>
  </si>
  <si>
    <t>Operation3</t>
  </si>
  <si>
    <t>Estimated Time 3</t>
  </si>
  <si>
    <t>Machine4</t>
  </si>
  <si>
    <t>Operation4</t>
  </si>
  <si>
    <t>Estimated Time 4</t>
  </si>
  <si>
    <t>Machine5</t>
  </si>
  <si>
    <t>Operation5</t>
  </si>
  <si>
    <t>Estimated Time 5</t>
  </si>
  <si>
    <t>Sheet's Referene</t>
  </si>
  <si>
    <t>Sheet's Name</t>
  </si>
  <si>
    <t>Price per Weight [cur]</t>
  </si>
  <si>
    <t>IsRemnant (empty=no)</t>
  </si>
  <si>
    <t>Remnant Price [%]</t>
  </si>
  <si>
    <t>Scrap Price [%]</t>
  </si>
  <si>
    <t>Original Sheet</t>
  </si>
  <si>
    <t>Tracking Number</t>
  </si>
  <si>
    <t>Supplier</t>
  </si>
  <si>
    <t>Supplier Batch Number</t>
  </si>
  <si>
    <t>Casting Number</t>
  </si>
  <si>
    <t>Warehouse</t>
  </si>
  <si>
    <t>Location</t>
  </si>
  <si>
    <t>Unit Cost [cur]</t>
  </si>
  <si>
    <t>RealWeight [kg]</t>
  </si>
  <si>
    <t>Parts DXF source path</t>
  </si>
  <si>
    <t>Remnants DXF source path</t>
  </si>
  <si>
    <t>Profile's Referene</t>
  </si>
  <si>
    <t>Profile's Name</t>
  </si>
  <si>
    <t>NA</t>
  </si>
  <si>
    <t>Profile Format</t>
  </si>
  <si>
    <t>Magazyn Profili</t>
  </si>
  <si>
    <t>NA2</t>
  </si>
  <si>
    <t>NA3</t>
  </si>
  <si>
    <t>S235J0</t>
  </si>
  <si>
    <r>
      <t>TOPWEB (</t>
    </r>
    <r>
      <rPr>
        <b/>
        <sz val="10"/>
        <rFont val="Calibri"/>
        <family val="2"/>
        <charset val="238"/>
      </rPr>
      <t>α</t>
    </r>
    <r>
      <rPr>
        <b/>
        <sz val="10"/>
        <rFont val="Arial"/>
        <family val="2"/>
        <charset val="238"/>
      </rPr>
      <t>1)</t>
    </r>
  </si>
  <si>
    <t>BOTWEB (α2)</t>
  </si>
  <si>
    <t>TOPFLG (β1)</t>
  </si>
  <si>
    <t>BOTFLG (β2)</t>
  </si>
  <si>
    <t>Pila</t>
  </si>
  <si>
    <t>RKW 30x30x3 L=905</t>
  </si>
  <si>
    <t>Add Date&amp;Time stamp to XML</t>
  </si>
  <si>
    <t>Unit</t>
  </si>
  <si>
    <t>Weight [kg]</t>
  </si>
  <si>
    <t>Cost [cur/unit]</t>
  </si>
  <si>
    <t>ForSale</t>
  </si>
  <si>
    <t>Descrip</t>
  </si>
  <si>
    <t>Parent Assembly</t>
  </si>
  <si>
    <t>Quantity in Assembly</t>
  </si>
  <si>
    <t>Parent Assembly:</t>
  </si>
  <si>
    <t>Yes</t>
  </si>
  <si>
    <t>FLACHR-SCHR*M010/025*MU*DIN  603* 4.6*VZ</t>
  </si>
  <si>
    <t>UNI-KAT Fobia</t>
  </si>
  <si>
    <t>C:\Lantek\importxml</t>
  </si>
  <si>
    <t>S235JR</t>
  </si>
  <si>
    <t>W/000008</t>
  </si>
  <si>
    <t>EZ1234</t>
  </si>
  <si>
    <t>EZa1234</t>
  </si>
  <si>
    <t>test profileeee</t>
  </si>
  <si>
    <t>C:\Lantek</t>
  </si>
  <si>
    <t>Ciecie Profili</t>
  </si>
  <si>
    <t>L 100x100x10 - S235JR</t>
  </si>
  <si>
    <t>Z/000010</t>
  </si>
  <si>
    <t>W/000008-Pr</t>
  </si>
  <si>
    <t>26052023_EP_11</t>
  </si>
  <si>
    <t>26052023_EP_12</t>
  </si>
  <si>
    <t>EZ12345</t>
  </si>
  <si>
    <t>DXF</t>
  </si>
  <si>
    <t>C:\Lantek\importxml\DXF\</t>
  </si>
  <si>
    <t>L-STAHL*040/040/04*EN 10056*S235JR</t>
  </si>
  <si>
    <t>L-STAHL*050/050/05*EN 10056*S235JR</t>
  </si>
  <si>
    <t>L-STAHL*070/070/07*EN 10056*S235JR</t>
  </si>
  <si>
    <t>L-STAHL*090/090/09*EN 10056*S235JR</t>
  </si>
  <si>
    <t>L-STAHL*100/075/10*EN 10056*S235JR</t>
  </si>
  <si>
    <t>L-STAHL*100/100/10*EN 10056*S235JR</t>
  </si>
  <si>
    <t>L-STAHL*L 070/07/07*EN 10056*1.4301</t>
  </si>
  <si>
    <t>RST BL*030*EN 10278*S355J2+N*h11</t>
  </si>
  <si>
    <t>RST GW*015*EN 10060*1.0038*S235JR</t>
  </si>
  <si>
    <t>RST GW*030*EN 10060*1.0577+N*S355J2+N</t>
  </si>
  <si>
    <t>ST-R NTL*026,9/02,3*DIN 2448**ST35-8I</t>
  </si>
  <si>
    <t>ST-R NTL*030,0/06,3*DIN 2448**ST37-0</t>
  </si>
  <si>
    <t>ST-R NTL*042,4/02,6*DIN 2448**ST35-8I</t>
  </si>
  <si>
    <t>ST-R NTL*057,0/08,0*DIN 2448**ST37.0</t>
  </si>
  <si>
    <t>ST-R NTL*088,9/05,0*DIN 2448**ST37.0</t>
  </si>
  <si>
    <t>U-STAHL*UNP 100*EN 10279*S235JR</t>
  </si>
  <si>
    <t>1.4301</t>
  </si>
  <si>
    <t>S355</t>
  </si>
  <si>
    <t>ST35</t>
  </si>
  <si>
    <t>ST37</t>
  </si>
  <si>
    <t>L 40x40x4</t>
  </si>
  <si>
    <t>L 50x50x5</t>
  </si>
  <si>
    <t>L 70x70x7</t>
  </si>
  <si>
    <t>L 90x90x9</t>
  </si>
  <si>
    <t>L 100x75x10</t>
  </si>
  <si>
    <t>L 100x100x10</t>
  </si>
  <si>
    <t>Pret O30</t>
  </si>
  <si>
    <t>Pret O15</t>
  </si>
  <si>
    <t>Rura Fi42.4x2.6</t>
  </si>
  <si>
    <t>Rura Fi30x6.3</t>
  </si>
  <si>
    <t>Rura Fi26.9x2.3</t>
  </si>
  <si>
    <t>Rura Fi57x8</t>
  </si>
  <si>
    <t>Rura Fi88.9x5</t>
  </si>
  <si>
    <t>UPN 100</t>
  </si>
  <si>
    <t>10_7447_BLACHY</t>
  </si>
  <si>
    <t>1,5_DC01_SL40551305_p2_1st_G_2026_</t>
  </si>
  <si>
    <t>10_S235_test-giecie_GS_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</si>
</sst>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0"/>
      <name val="Calibri"/>
      <family val="2"/>
      <charset val="238"/>
    </font>
    <font>
      <sz val="11"/>
      <name val="Aptos Narrow"/>
    </font>
  </fonts>
  <fills count="12">
    <fill>
      <patternFill patternType="none"/>
    </fill>
    <fill>
      <patternFill patternType="gray125"/>
    </fill>
    <fill>
      <patternFill patternType="solid">
        <fgColor rgb="FFC0C0C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 wrapText="1"/>
    </xf>
    <xf numFmtId="2" fontId="0" fillId="3" borderId="1" xfId="0" applyNumberFormat="1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2" fontId="0" fillId="0" borderId="0" xfId="0" applyNumberFormat="1"/>
    <xf numFmtId="0" fontId="0" fillId="6" borderId="0" xfId="0" applyFill="1"/>
    <xf numFmtId="0" fontId="3" fillId="0" borderId="0" xfId="0" applyFont="1"/>
    <xf numFmtId="0" fontId="0" fillId="7" borderId="1" xfId="0" applyFill="1" applyBorder="1" applyAlignment="1">
      <alignment horizontal="left" vertical="center"/>
    </xf>
    <xf numFmtId="0" fontId="0" fillId="5" borderId="1" xfId="0" quotePrefix="1" applyFill="1" applyBorder="1" applyAlignment="1">
      <alignment horizontal="left" vertical="center"/>
    </xf>
    <xf numFmtId="17" fontId="0" fillId="3" borderId="1" xfId="0" quotePrefix="1" applyNumberFormat="1" applyFill="1" applyBorder="1" applyAlignment="1">
      <alignment horizontal="left" vertical="center"/>
    </xf>
    <xf numFmtId="0" fontId="2" fillId="4" borderId="2" xfId="0" applyFont="1" applyFill="1" applyBorder="1" applyAlignment="1">
      <alignment horizontal="center" vertical="center" wrapText="1"/>
    </xf>
    <xf numFmtId="2" fontId="2" fillId="4" borderId="2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 wrapText="1"/>
    </xf>
    <xf numFmtId="0" fontId="0" fillId="3" borderId="3" xfId="0" quotePrefix="1" applyFill="1" applyBorder="1" applyAlignment="1">
      <alignment horizontal="left" vertical="center"/>
    </xf>
    <xf numFmtId="2" fontId="0" fillId="3" borderId="3" xfId="0" applyNumberForma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0" fillId="7" borderId="3" xfId="0" applyFill="1" applyBorder="1" applyAlignment="1">
      <alignment horizontal="left" vertical="center"/>
    </xf>
    <xf numFmtId="2" fontId="2" fillId="4" borderId="4" xfId="0" applyNumberFormat="1" applyFont="1" applyFill="1" applyBorder="1" applyAlignment="1">
      <alignment horizontal="center" vertical="center" wrapText="1"/>
    </xf>
    <xf numFmtId="0" fontId="0" fillId="3" borderId="1" xfId="0" quotePrefix="1" applyFill="1" applyBorder="1" applyAlignment="1">
      <alignment horizontal="left" vertical="center"/>
    </xf>
    <xf numFmtId="0" fontId="0" fillId="0" borderId="0" xfId="0" applyAlignment="1">
      <alignment wrapText="1"/>
    </xf>
    <xf numFmtId="2" fontId="2" fillId="2" borderId="2" xfId="0" applyNumberFormat="1" applyFont="1" applyFill="1" applyBorder="1" applyAlignment="1">
      <alignment horizontal="center" vertical="center" wrapText="1"/>
    </xf>
    <xf numFmtId="0" fontId="0" fillId="8" borderId="0" xfId="0" applyFill="1"/>
    <xf numFmtId="0" fontId="0" fillId="0" borderId="0" xfId="0" applyAlignment="1">
      <alignment horizontal="center"/>
    </xf>
    <xf numFmtId="0" fontId="0" fillId="9" borderId="1" xfId="0" applyFill="1" applyBorder="1"/>
    <xf numFmtId="0" fontId="0" fillId="10" borderId="1" xfId="0" applyFill="1" applyBorder="1"/>
    <xf numFmtId="0" fontId="0" fillId="0" borderId="1" xfId="0" applyBorder="1"/>
    <xf numFmtId="0" fontId="0" fillId="7" borderId="5" xfId="0" applyFill="1" applyBorder="1" applyAlignment="1">
      <alignment horizontal="left" vertical="center"/>
    </xf>
    <xf numFmtId="0" fontId="2" fillId="11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" fontId="0" fillId="3" borderId="3" xfId="0" quotePrefix="1" applyNumberFormat="1" applyFill="1" applyBorder="1" applyAlignment="1">
      <alignment horizontal="left" vertical="center"/>
    </xf>
    <xf numFmtId="0" fontId="5" fillId="0" borderId="0" xfId="0" applyFont="1" applyAlignment="1">
      <alignment horizontal="left"/>
    </xf>
  </cellXfs>
  <cellStyles count="1">
    <cellStyle name="Normalny" xfId="0" builtinId="0"/>
  </cellStyles>
  <dxfs count="178"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rgb="FF000000"/>
          <bgColor rgb="FFFCE4D6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</dxfs>
  <tableStyles count="0" defaultTableStyle="TableStyleMedium2" defaultPivotStyle="PivotStyleLight16"/>
  <colors>
    <mruColors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7.emf"/><Relationship Id="rId6" Type="http://schemas.openxmlformats.org/officeDocument/2006/relationships/image" Target="../media/image1.emf"/><Relationship Id="rId5" Type="http://schemas.openxmlformats.org/officeDocument/2006/relationships/image" Target="../media/image9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7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2</xdr:col>
          <xdr:colOff>419100</xdr:colOff>
          <xdr:row>2</xdr:row>
          <xdr:rowOff>85725</xdr:rowOff>
        </xdr:to>
        <xdr:sp macro="" textlink="">
          <xdr:nvSpPr>
            <xdr:cNvPr id="1026" name="ExportXML_SheetPar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800100</xdr:colOff>
          <xdr:row>0</xdr:row>
          <xdr:rowOff>152400</xdr:rowOff>
        </xdr:from>
        <xdr:to>
          <xdr:col>2</xdr:col>
          <xdr:colOff>2028825</xdr:colOff>
          <xdr:row>2</xdr:row>
          <xdr:rowOff>57150</xdr:rowOff>
        </xdr:to>
        <xdr:sp macro="" textlink="">
          <xdr:nvSpPr>
            <xdr:cNvPr id="1027" name="ExportProduct_SP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704850</xdr:colOff>
          <xdr:row>0</xdr:row>
          <xdr:rowOff>171450</xdr:rowOff>
        </xdr:from>
        <xdr:to>
          <xdr:col>3</xdr:col>
          <xdr:colOff>1695450</xdr:colOff>
          <xdr:row>2</xdr:row>
          <xdr:rowOff>57150</xdr:rowOff>
        </xdr:to>
        <xdr:sp macro="" textlink="">
          <xdr:nvSpPr>
            <xdr:cNvPr id="1028" name="ExportManufacturingOrder_S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0</xdr:row>
          <xdr:rowOff>171450</xdr:rowOff>
        </xdr:from>
        <xdr:to>
          <xdr:col>7</xdr:col>
          <xdr:colOff>28575</xdr:colOff>
          <xdr:row>2</xdr:row>
          <xdr:rowOff>57150</xdr:rowOff>
        </xdr:to>
        <xdr:sp macro="" textlink="">
          <xdr:nvSpPr>
            <xdr:cNvPr id="1029" name="ExportQuote_S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2076450</xdr:colOff>
          <xdr:row>0</xdr:row>
          <xdr:rowOff>152400</xdr:rowOff>
        </xdr:from>
        <xdr:to>
          <xdr:col>3</xdr:col>
          <xdr:colOff>666750</xdr:colOff>
          <xdr:row>2</xdr:row>
          <xdr:rowOff>28575</xdr:rowOff>
        </xdr:to>
        <xdr:sp macro="" textlink="">
          <xdr:nvSpPr>
            <xdr:cNvPr id="1031" name="ExportGeo_SP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371475</xdr:colOff>
          <xdr:row>0</xdr:row>
          <xdr:rowOff>161925</xdr:rowOff>
        </xdr:from>
        <xdr:to>
          <xdr:col>10</xdr:col>
          <xdr:colOff>342900</xdr:colOff>
          <xdr:row>2</xdr:row>
          <xdr:rowOff>66675</xdr:rowOff>
        </xdr:to>
        <xdr:sp macro="" textlink="">
          <xdr:nvSpPr>
            <xdr:cNvPr id="1032" name="DefaultCuttingMachine_SP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0</xdr:row>
          <xdr:rowOff>123825</xdr:rowOff>
        </xdr:from>
        <xdr:to>
          <xdr:col>14</xdr:col>
          <xdr:colOff>561975</xdr:colOff>
          <xdr:row>2</xdr:row>
          <xdr:rowOff>9525</xdr:rowOff>
        </xdr:to>
        <xdr:sp macro="" textlink="">
          <xdr:nvSpPr>
            <xdr:cNvPr id="1033" name="ExportAssembly_SP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0</xdr:row>
          <xdr:rowOff>95250</xdr:rowOff>
        </xdr:from>
        <xdr:to>
          <xdr:col>5</xdr:col>
          <xdr:colOff>400050</xdr:colOff>
          <xdr:row>2</xdr:row>
          <xdr:rowOff>161925</xdr:rowOff>
        </xdr:to>
        <xdr:sp macro="" textlink="">
          <xdr:nvSpPr>
            <xdr:cNvPr id="1034" name="ExportSaleOrder_SP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68580</xdr:colOff>
          <xdr:row>0</xdr:row>
          <xdr:rowOff>76200</xdr:rowOff>
        </xdr:from>
        <xdr:to>
          <xdr:col>2</xdr:col>
          <xdr:colOff>419100</xdr:colOff>
          <xdr:row>2</xdr:row>
          <xdr:rowOff>83820</xdr:rowOff>
        </xdr:to>
        <xdr:sp macro="" textlink="">
          <xdr:nvSpPr>
            <xdr:cNvPr id="2049" name="ExportXML_BeamPart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792480</xdr:colOff>
          <xdr:row>0</xdr:row>
          <xdr:rowOff>137160</xdr:rowOff>
        </xdr:from>
        <xdr:to>
          <xdr:col>3</xdr:col>
          <xdr:colOff>784860</xdr:colOff>
          <xdr:row>2</xdr:row>
          <xdr:rowOff>22860</xdr:rowOff>
        </xdr:to>
        <xdr:sp macro="" textlink="">
          <xdr:nvSpPr>
            <xdr:cNvPr id="2050" name="ExportProduct_BP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784860</xdr:colOff>
          <xdr:row>0</xdr:row>
          <xdr:rowOff>137160</xdr:rowOff>
        </xdr:from>
        <xdr:to>
          <xdr:col>3</xdr:col>
          <xdr:colOff>1775460</xdr:colOff>
          <xdr:row>2</xdr:row>
          <xdr:rowOff>22860</xdr:rowOff>
        </xdr:to>
        <xdr:sp macro="" textlink="">
          <xdr:nvSpPr>
            <xdr:cNvPr id="2051" name="ExportManufacturingOrder_BP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259080</xdr:colOff>
          <xdr:row>0</xdr:row>
          <xdr:rowOff>152400</xdr:rowOff>
        </xdr:from>
        <xdr:to>
          <xdr:col>5</xdr:col>
          <xdr:colOff>960120</xdr:colOff>
          <xdr:row>2</xdr:row>
          <xdr:rowOff>38100</xdr:rowOff>
        </xdr:to>
        <xdr:sp macro="" textlink="">
          <xdr:nvSpPr>
            <xdr:cNvPr id="2052" name="ExportQuote_BP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297180</xdr:colOff>
          <xdr:row>0</xdr:row>
          <xdr:rowOff>152400</xdr:rowOff>
        </xdr:from>
        <xdr:to>
          <xdr:col>14</xdr:col>
          <xdr:colOff>411480</xdr:colOff>
          <xdr:row>2</xdr:row>
          <xdr:rowOff>60960</xdr:rowOff>
        </xdr:to>
        <xdr:sp macro="" textlink="">
          <xdr:nvSpPr>
            <xdr:cNvPr id="2053" name="DefaultCuttingMachine_BP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18</xdr:col>
      <xdr:colOff>550335</xdr:colOff>
      <xdr:row>0</xdr:row>
      <xdr:rowOff>52916</xdr:rowOff>
    </xdr:from>
    <xdr:to>
      <xdr:col>20</xdr:col>
      <xdr:colOff>634810</xdr:colOff>
      <xdr:row>2</xdr:row>
      <xdr:rowOff>967154</xdr:rowOff>
    </xdr:to>
    <xdr:pic>
      <xdr:nvPicPr>
        <xdr:cNvPr id="7" name="Obraz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83668" y="52916"/>
          <a:ext cx="1523809" cy="12952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861060</xdr:colOff>
          <xdr:row>0</xdr:row>
          <xdr:rowOff>175260</xdr:rowOff>
        </xdr:from>
        <xdr:to>
          <xdr:col>16</xdr:col>
          <xdr:colOff>304800</xdr:colOff>
          <xdr:row>2</xdr:row>
          <xdr:rowOff>60960</xdr:rowOff>
        </xdr:to>
        <xdr:sp macro="" textlink="">
          <xdr:nvSpPr>
            <xdr:cNvPr id="2054" name="ExportAssembly_BP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1760220</xdr:colOff>
          <xdr:row>0</xdr:row>
          <xdr:rowOff>83820</xdr:rowOff>
        </xdr:from>
        <xdr:to>
          <xdr:col>8</xdr:col>
          <xdr:colOff>807720</xdr:colOff>
          <xdr:row>2</xdr:row>
          <xdr:rowOff>99060</xdr:rowOff>
        </xdr:to>
        <xdr:sp macro="" textlink="">
          <xdr:nvSpPr>
            <xdr:cNvPr id="2055" name="ExportSaleOrder_B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2</xdr:col>
          <xdr:colOff>419100</xdr:colOff>
          <xdr:row>2</xdr:row>
          <xdr:rowOff>83820</xdr:rowOff>
        </xdr:to>
        <xdr:sp macro="" textlink="">
          <xdr:nvSpPr>
            <xdr:cNvPr id="7169" name="ExportXML_CommonItem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952500</xdr:colOff>
          <xdr:row>0</xdr:row>
          <xdr:rowOff>68580</xdr:rowOff>
        </xdr:from>
        <xdr:to>
          <xdr:col>6</xdr:col>
          <xdr:colOff>381000</xdr:colOff>
          <xdr:row>2</xdr:row>
          <xdr:rowOff>99060</xdr:rowOff>
        </xdr:to>
        <xdr:sp macro="" textlink="">
          <xdr:nvSpPr>
            <xdr:cNvPr id="7175" name="ExportAssembly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2</xdr:col>
          <xdr:colOff>121920</xdr:colOff>
          <xdr:row>2</xdr:row>
          <xdr:rowOff>83820</xdr:rowOff>
        </xdr:to>
        <xdr:sp macro="" textlink="">
          <xdr:nvSpPr>
            <xdr:cNvPr id="4097" name="ExportXML_Sheet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1242060</xdr:colOff>
          <xdr:row>0</xdr:row>
          <xdr:rowOff>152400</xdr:rowOff>
        </xdr:from>
        <xdr:to>
          <xdr:col>3</xdr:col>
          <xdr:colOff>297180</xdr:colOff>
          <xdr:row>2</xdr:row>
          <xdr:rowOff>60960</xdr:rowOff>
        </xdr:to>
        <xdr:sp macro="" textlink="">
          <xdr:nvSpPr>
            <xdr:cNvPr id="4098" name="ExportSheet_DEF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381000</xdr:colOff>
          <xdr:row>0</xdr:row>
          <xdr:rowOff>152400</xdr:rowOff>
        </xdr:from>
        <xdr:to>
          <xdr:col>5</xdr:col>
          <xdr:colOff>906780</xdr:colOff>
          <xdr:row>2</xdr:row>
          <xdr:rowOff>60960</xdr:rowOff>
        </xdr:to>
        <xdr:sp macro="" textlink="">
          <xdr:nvSpPr>
            <xdr:cNvPr id="4100" name="ExportSheet_MV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632460</xdr:colOff>
          <xdr:row>0</xdr:row>
          <xdr:rowOff>152400</xdr:rowOff>
        </xdr:from>
        <xdr:to>
          <xdr:col>4</xdr:col>
          <xdr:colOff>0</xdr:colOff>
          <xdr:row>2</xdr:row>
          <xdr:rowOff>60960</xdr:rowOff>
        </xdr:to>
        <xdr:sp macro="" textlink="">
          <xdr:nvSpPr>
            <xdr:cNvPr id="4101" name="ExportSheet_T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1</xdr:col>
          <xdr:colOff>1173480</xdr:colOff>
          <xdr:row>2</xdr:row>
          <xdr:rowOff>83820</xdr:rowOff>
        </xdr:to>
        <xdr:sp macro="" textlink="">
          <xdr:nvSpPr>
            <xdr:cNvPr id="6145" name="ExportXML_Profile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693420</xdr:colOff>
          <xdr:row>0</xdr:row>
          <xdr:rowOff>152400</xdr:rowOff>
        </xdr:from>
        <xdr:to>
          <xdr:col>3</xdr:col>
          <xdr:colOff>411480</xdr:colOff>
          <xdr:row>2</xdr:row>
          <xdr:rowOff>60960</xdr:rowOff>
        </xdr:to>
        <xdr:sp macro="" textlink="">
          <xdr:nvSpPr>
            <xdr:cNvPr id="6146" name="ExportProfile_DEF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2202180</xdr:colOff>
          <xdr:row>0</xdr:row>
          <xdr:rowOff>152400</xdr:rowOff>
        </xdr:from>
        <xdr:to>
          <xdr:col>4</xdr:col>
          <xdr:colOff>617220</xdr:colOff>
          <xdr:row>2</xdr:row>
          <xdr:rowOff>60960</xdr:rowOff>
        </xdr:to>
        <xdr:sp macro="" textlink="">
          <xdr:nvSpPr>
            <xdr:cNvPr id="6147" name="ExportProfile_MV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655320</xdr:colOff>
          <xdr:row>0</xdr:row>
          <xdr:rowOff>152400</xdr:rowOff>
        </xdr:from>
        <xdr:to>
          <xdr:col>3</xdr:col>
          <xdr:colOff>1813560</xdr:colOff>
          <xdr:row>2</xdr:row>
          <xdr:rowOff>60960</xdr:rowOff>
        </xdr:to>
        <xdr:sp macro="" textlink="">
          <xdr:nvSpPr>
            <xdr:cNvPr id="6148" name="ExportProfile_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47F30-C8F8-4C79-83C2-A35B2FB3DC5C}" name="Tabela1" displayName="Tabela1" ref="A4:AN5" totalsRowShown="0" headerRowDxfId="177" dataDxfId="175" headerRowBorderDxfId="176" tableBorderDxfId="174" totalsRowBorderDxfId="173">
  <autoFilter ref="A4:AN5" xr:uid="{ECB0B93E-5299-49D2-AA27-3A55D095288F}"/>
  <tableColumns count="40">
    <tableColumn id="1" xr3:uid="{86030818-CCEA-47B5-8A1A-EF15406710D8}" name="LP" dataDxfId="172"/>
    <tableColumn id="2" xr3:uid="{46081EB9-4271-4394-8AB6-C728D0CAC142}" name="Image" dataDxfId="171"/>
    <tableColumn id="3" xr3:uid="{A73499F6-3CA9-44E1-B528-BB2A8B563499}" name="Part's Reference" dataDxfId="170"/>
    <tableColumn id="4" xr3:uid="{2582EE8B-46CC-41E8-BEC4-BA69FEE8D06A}" name="Part's Name" dataDxfId="169"/>
    <tableColumn id="5" xr3:uid="{C50B8D91-CC4B-4E3B-B583-EB99FB211AE3}" name="Material" dataDxfId="168"/>
    <tableColumn id="6" xr3:uid="{0DE74DCD-29CD-4FB9-AA2C-14B83EE8B286}" name="Thickness [mm]" dataDxfId="167"/>
    <tableColumn id="7" xr3:uid="{1E90A80E-E2EC-46FA-A979-5AD87FC25120}" name="Geometry Filename (no ext.)" dataDxfId="166"/>
    <tableColumn id="8" xr3:uid="{115FC7D0-968B-4205-A126-8DEB0D334906}" name="Geometry Format" dataDxfId="165"/>
    <tableColumn id="9" xr3:uid="{E6AB680E-07EE-42F3-8707-C544696BFBF9}" name="Length [mm]" dataDxfId="164"/>
    <tableColumn id="10" xr3:uid="{9A1AEF64-C000-4829-9D30-46AA87CB36E5}" name="Width [mm]" dataDxfId="163"/>
    <tableColumn id="11" xr3:uid="{D12D4DFE-95C7-4A4B-9D1C-E9191BC264BE}" name="Quantity" dataDxfId="162"/>
    <tableColumn id="12" xr3:uid="{5341F53A-856D-4D57-A7C9-09544EABA5A3}" name="Priority" dataDxfId="161"/>
    <tableColumn id="13" xr3:uid="{10376463-2002-4983-B62E-47EF042DBBBC}" name="UserData 1" dataDxfId="160"/>
    <tableColumn id="14" xr3:uid="{EF877F5A-13C5-4511-AE4E-63BF1B770642}" name="UserData 2" dataDxfId="159"/>
    <tableColumn id="15" xr3:uid="{A9269EA4-6FD9-40CE-87A7-329287A85A31}" name="UserData 3" dataDxfId="158"/>
    <tableColumn id="16" xr3:uid="{8B19F0A2-32BA-47CB-8665-BF344D453C7C}" name="UserData 4" dataDxfId="157"/>
    <tableColumn id="17" xr3:uid="{032F60D2-BCC4-412A-ABF0-0EA22389916E}" name="UserData 5" dataDxfId="156"/>
    <tableColumn id="18" xr3:uid="{B5384D82-6868-4D71-8176-0C1CE9B44520}" name="UserData 6" dataDxfId="155"/>
    <tableColumn id="19" xr3:uid="{75E47169-34F0-4CF8-9272-FEB2DA8F98B0}" name="UserData 7" dataDxfId="154"/>
    <tableColumn id="20" xr3:uid="{A2656763-1DE4-4911-BE93-B4B78BC3C223}" name="UserData 8" dataDxfId="153"/>
    <tableColumn id="21" xr3:uid="{4FC9B1B2-78E9-4C76-8AF9-5F79ABFD7645}" name="Manufacturing Order" dataDxfId="152"/>
    <tableColumn id="22" xr3:uid="{7E9E4D59-ACA8-4807-91ED-EFB96E69103A}" name="Sale Order" dataDxfId="151"/>
    <tableColumn id="23" xr3:uid="{2E36D214-95CB-48CF-AA0D-57377387CBF2}" name="Customer" dataDxfId="150"/>
    <tableColumn id="24" xr3:uid="{DA916585-38BF-40D6-8F02-7F96622D51EE}" name="Description" dataDxfId="149"/>
    <tableColumn id="25" xr3:uid="{E1FD5E22-4D9B-43B7-9E7E-D6259F37BC84}" name="Delivery Date" dataDxfId="148"/>
    <tableColumn id="26" xr3:uid="{0BBAE848-4A9D-47A3-B331-09B7BF4DAB5F}" name="Machine1" dataDxfId="147"/>
    <tableColumn id="27" xr3:uid="{713DC17D-A8A0-46C4-8025-73B722DB211A}" name="Operation1" dataDxfId="146"/>
    <tableColumn id="28" xr3:uid="{64B0E339-FD7E-451C-9008-6B0C9543AF33}" name="Estimated Time 1" dataDxfId="145"/>
    <tableColumn id="29" xr3:uid="{0DE0C9E9-1744-4EC2-9E0E-20BFB343A000}" name="Machine2" dataDxfId="144"/>
    <tableColumn id="30" xr3:uid="{97388499-38C7-4CE3-B6BB-4F165C8994B8}" name="Operation2" dataDxfId="143"/>
    <tableColumn id="31" xr3:uid="{09937BE5-59F0-40A9-BE4E-4BC6DCC1538E}" name="Estimated Time 2" dataDxfId="142"/>
    <tableColumn id="32" xr3:uid="{68C614BE-900C-4CDC-93CB-D18B15705B4B}" name="Machine3" dataDxfId="141"/>
    <tableColumn id="33" xr3:uid="{7E9DC2AC-CFFF-4760-8697-D5BEDC87DACB}" name="Operation3" dataDxfId="140"/>
    <tableColumn id="34" xr3:uid="{E3648F2C-CE17-4A39-A6DE-7B727B12B188}" name="Estimated Time 3" dataDxfId="139"/>
    <tableColumn id="35" xr3:uid="{5FD8765F-2F4D-4B1F-96D6-9BAACA5D4F2E}" name="Machine4" dataDxfId="138"/>
    <tableColumn id="36" xr3:uid="{E8C1DD96-BA8F-4F48-931F-7C5B09787A90}" name="Operation4" dataDxfId="137"/>
    <tableColumn id="37" xr3:uid="{D5703255-C882-424E-B2C3-02A76F376BA1}" name="Estimated Time 4" dataDxfId="136"/>
    <tableColumn id="38" xr3:uid="{668F64D4-306E-425D-AA3F-FFD431B392C9}" name="Machine5" dataDxfId="135"/>
    <tableColumn id="39" xr3:uid="{67492C72-ADC9-4F33-8A82-8C880612C0C0}" name="Operation5" dataDxfId="134"/>
    <tableColumn id="40" xr3:uid="{695BC922-0080-4981-B9C3-ECA1DD08231B}" name="Estimated Time 5" dataDxfId="1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DB3C4A-94CE-4DA4-87FE-923B624F8BB3}" name="Tabela2" displayName="Tabela2" ref="A4:AO34" totalsRowShown="0" headerRowDxfId="132" dataDxfId="130" headerRowBorderDxfId="131" tableBorderDxfId="129" totalsRowBorderDxfId="128">
  <autoFilter ref="A4:AO34" xr:uid="{485919B9-7E5D-4312-8B39-1F2B9991100E}"/>
  <tableColumns count="41">
    <tableColumn id="1" xr3:uid="{8642DEA9-E3D1-4546-B2AB-F270BE38CE43}" name="LP" dataDxfId="127"/>
    <tableColumn id="2" xr3:uid="{C0A81144-63C6-443C-830B-733D4C70B092}" name="Image" dataDxfId="126"/>
    <tableColumn id="3" xr3:uid="{78CDB718-ACB6-4BAB-9E74-4F9A483E446C}" name="Part's Index" dataDxfId="125"/>
    <tableColumn id="4" xr3:uid="{522BC4C9-2B36-41F6-8D86-24CDE00A61C5}" name="Part's Name" dataDxfId="124"/>
    <tableColumn id="5" xr3:uid="{F56ABF04-3EA5-4B19-A910-0746268BF410}" name="Material" dataDxfId="123"/>
    <tableColumn id="6" xr3:uid="{3C724318-7653-423C-AAB6-461D8037EEC4}" name="Length [mm]" dataDxfId="122"/>
    <tableColumn id="7" xr3:uid="{4C11FBD9-B2E7-40A9-969B-5FADFF1DF65F}" name="Quantity" dataDxfId="121"/>
    <tableColumn id="8" xr3:uid="{73795514-CFAF-4A50-A573-535A19B8285D}" name="Profile" dataDxfId="120"/>
    <tableColumn id="9" xr3:uid="{3115496E-0CF1-4ED4-9280-8C7DAF4FE950}" name="UserData 1" dataDxfId="119"/>
    <tableColumn id="10" xr3:uid="{B7D5F00B-D931-408F-8C2F-AE2314B2D374}" name="UserData 2" dataDxfId="118"/>
    <tableColumn id="11" xr3:uid="{4F2ABE3E-D56A-45E5-90EB-BA12BAB99D01}" name="UserData 3" dataDxfId="117"/>
    <tableColumn id="12" xr3:uid="{ACB780CF-ABCB-41F7-B960-1511C4998AF1}" name="UserData 4" dataDxfId="116"/>
    <tableColumn id="13" xr3:uid="{9EE4F126-0C10-447A-8A07-48088F3330CB}" name="UserData 5" dataDxfId="115"/>
    <tableColumn id="14" xr3:uid="{BE7B3508-5E14-4FF4-A13E-4FF8C4099CAA}" name="UserData 6" dataDxfId="114"/>
    <tableColumn id="15" xr3:uid="{4D7582DA-4C54-4921-9C0E-4AB7C463564A}" name="UserData 7" dataDxfId="113"/>
    <tableColumn id="16" xr3:uid="{B28FCFA0-3B8C-4238-8A5F-0F14B7FDC40C}" name="UserData 8" dataDxfId="112"/>
    <tableColumn id="17" xr3:uid="{5F8B1DAB-EBCB-40F4-8A48-7C744EAA4DC2}" name="TOPWEB (α1)" dataDxfId="111"/>
    <tableColumn id="18" xr3:uid="{1E478BD3-78EE-4398-BAF5-949541195BBB}" name="BOTWEB (α2)" dataDxfId="110"/>
    <tableColumn id="19" xr3:uid="{9F2D5A83-867F-4D2F-879C-EA2E3B139CD5}" name="TOPFLG (β1)" dataDxfId="109"/>
    <tableColumn id="20" xr3:uid="{8437E113-31FD-4E04-A1E7-6CE165753DDB}" name="BOTFLG (β2)" dataDxfId="108"/>
    <tableColumn id="21" xr3:uid="{A81896A8-91ED-4886-B308-03F03D519DE2}" name="Manufacturing Order" dataDxfId="107"/>
    <tableColumn id="22" xr3:uid="{4081BB57-33DE-4139-A67E-C339486DE449}" name="Sale Order" dataDxfId="106"/>
    <tableColumn id="23" xr3:uid="{D06F7DAA-787F-412D-B245-BD873040C96C}" name="Customer" dataDxfId="105"/>
    <tableColumn id="24" xr3:uid="{767DBEE4-8744-4309-8A22-5EEC89AF62A6}" name="Description" dataDxfId="104"/>
    <tableColumn id="25" xr3:uid="{F603AD8A-92B8-4004-99A4-230F1B32A2BE}" name="Delivery Date" dataDxfId="103"/>
    <tableColumn id="26" xr3:uid="{F3E70053-3B20-4A7B-9453-7DDF3F2EED90}" name="Machine1" dataDxfId="102"/>
    <tableColumn id="27" xr3:uid="{902574D2-72BC-45A4-A424-ED1090D5B40A}" name="Operation1" dataDxfId="101"/>
    <tableColumn id="28" xr3:uid="{6A2E6D4B-BAA9-409E-807F-F4986ACD088D}" name="Estimated Time 1" dataDxfId="100"/>
    <tableColumn id="29" xr3:uid="{BBFE853E-A2E9-48D9-A892-EBC54B2F8C67}" name="Machine2" dataDxfId="99"/>
    <tableColumn id="30" xr3:uid="{A90A9C85-B0CA-46BB-89A1-B0A3845ABA04}" name="Operation2" dataDxfId="98"/>
    <tableColumn id="31" xr3:uid="{B8DDE5E7-05CA-4F8B-A202-8D60CC3B6542}" name="Estimated Time 2" dataDxfId="97"/>
    <tableColumn id="32" xr3:uid="{06BDC653-B6B7-40EC-B804-7BBBABA40BD2}" name="Machine3" dataDxfId="96"/>
    <tableColumn id="33" xr3:uid="{E46D6F08-3326-46D0-A74F-BDA11B1C6B26}" name="Operation3" dataDxfId="95"/>
    <tableColumn id="34" xr3:uid="{E96F5EB0-9BDA-4895-A231-DCE32AD25211}" name="Estimated Time 3" dataDxfId="94"/>
    <tableColumn id="35" xr3:uid="{FB4B0BEF-0280-48B5-B9D4-EE47FCCB94E1}" name="Machine4" dataDxfId="93"/>
    <tableColumn id="36" xr3:uid="{2EAF3C5F-71D2-49FE-B69F-D8ADFDEEE49E}" name="Operation4" dataDxfId="92"/>
    <tableColumn id="37" xr3:uid="{49FF490F-E1A6-4D52-A43C-7D32FC2D71F5}" name="Estimated Time 4" dataDxfId="91"/>
    <tableColumn id="38" xr3:uid="{F4F46E83-9414-426A-B6D0-ADCE649488D5}" name="Machine5" dataDxfId="90"/>
    <tableColumn id="39" xr3:uid="{02E8E40F-FD04-4961-B5A6-B921BE9A493E}" name="Operation5" dataDxfId="89"/>
    <tableColumn id="40" xr3:uid="{320D14B3-3934-4656-919F-3B3663C433AE}" name="Estimated Time 5" dataDxfId="88"/>
    <tableColumn id="42" xr3:uid="{B10D60EA-5668-4A90-AE61-EA8DF74A20E3}" name="Quantity in Assembly" dataDxfId="8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874EE02-3D39-41F6-8AC3-D37B527A7A36}" name="Tabela16" displayName="Tabela16" ref="A4:R45" totalsRowShown="0" headerRowDxfId="86" dataDxfId="84" headerRowBorderDxfId="85" tableBorderDxfId="83" totalsRowBorderDxfId="82">
  <autoFilter ref="A4:R45" xr:uid="{ECB0B93E-5299-49D2-AA27-3A55D095288F}"/>
  <tableColumns count="18">
    <tableColumn id="1" xr3:uid="{879C2078-9C6C-4735-9EB0-1AE5E55EF62A}" name="LP" dataDxfId="81"/>
    <tableColumn id="2" xr3:uid="{1D5DE6B3-25B5-4DE4-9B15-A7B0E2E6E837}" name="Image" dataDxfId="80"/>
    <tableColumn id="3" xr3:uid="{A3EE4AF6-39E9-47EE-B62D-87788EB12EEB}" name="Part's Reference" dataDxfId="79"/>
    <tableColumn id="4" xr3:uid="{65DF5AF8-7611-4778-A55E-5A1FA7496778}" name="Part's Name" dataDxfId="78"/>
    <tableColumn id="9" xr3:uid="{3DCCCB6D-4CCB-49C1-89B1-18718CA9426A}" name="Weight [kg]" dataDxfId="77"/>
    <tableColumn id="10" xr3:uid="{76524905-7406-4134-8B90-B5208D3C0734}" name="Cost [cur/unit]" dataDxfId="76"/>
    <tableColumn id="11" xr3:uid="{3D1F94FD-F4E9-4207-A09D-A7AD8F328A88}" name="Unit" dataDxfId="75"/>
    <tableColumn id="12" xr3:uid="{118F33D8-C661-43E0-A16F-21E2987D78CB}" name="ForSale" dataDxfId="74"/>
    <tableColumn id="5" xr3:uid="{DD9DE1AB-6F22-4316-98AA-8935BAABE4AA}" name="Descrip" dataDxfId="73"/>
    <tableColumn id="13" xr3:uid="{5FED0049-ECF5-4B8C-8600-C434C4E9C6C2}" name="UserData 1" dataDxfId="72"/>
    <tableColumn id="14" xr3:uid="{2F43B893-0433-47C4-B1CC-A42C7DDCD2BB}" name="UserData 2" dataDxfId="71"/>
    <tableColumn id="15" xr3:uid="{8937BF60-C7ED-4219-BC23-3C427DF8252B}" name="UserData 3" dataDxfId="70"/>
    <tableColumn id="16" xr3:uid="{91B31314-A756-4AA1-B202-D124BE50ED5E}" name="UserData 4" dataDxfId="69"/>
    <tableColumn id="17" xr3:uid="{4CEDFED8-B77F-4175-8A31-9D582D9463F4}" name="UserData 5" dataDxfId="68"/>
    <tableColumn id="18" xr3:uid="{01E27566-E026-4DEF-BF08-8FE81641364F}" name="UserData 6" dataDxfId="67"/>
    <tableColumn id="19" xr3:uid="{0285917E-7573-47CD-B2BE-55135664AE28}" name="UserData 7" dataDxfId="66"/>
    <tableColumn id="20" xr3:uid="{B3DE34BE-9100-4688-82E9-78B2ABCEFD53}" name="UserData 8" dataDxfId="65"/>
    <tableColumn id="21" xr3:uid="{67693F1A-3A0E-449A-BFC9-0846E2AF9CC3}" name="Parent Assembly" dataDxfId="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5175358-5B25-4B7C-8F76-2D75F14790CE}" name="Tabela3" displayName="Tabela3" ref="A4:AA17" totalsRowShown="0" headerRowDxfId="63" dataDxfId="61" headerRowBorderDxfId="62" tableBorderDxfId="60" totalsRowBorderDxfId="59">
  <autoFilter ref="A4:AA17" xr:uid="{05C9DC39-86D5-49B7-AB63-0F4A64C74D83}"/>
  <tableColumns count="27">
    <tableColumn id="1" xr3:uid="{C8B5E708-D7DF-4E6C-93F7-CEA0077A0B5B}" name="LP" dataDxfId="58"/>
    <tableColumn id="2" xr3:uid="{9F705054-2B53-4A3C-BC94-BBFCF8F9E4D8}" name="IsRemnant (empty=no)" dataDxfId="57"/>
    <tableColumn id="3" xr3:uid="{C0C3676F-B30B-47F0-A733-21E7E715772D}" name="Sheet's Referene" dataDxfId="56"/>
    <tableColumn id="4" xr3:uid="{B1CC30D4-6884-4A19-960C-EC99101FC38C}" name="Sheet's Name" dataDxfId="55"/>
    <tableColumn id="5" xr3:uid="{2E024141-6317-4DE1-8ED8-CEA6792686E2}" name="Material" dataDxfId="54"/>
    <tableColumn id="6" xr3:uid="{0A2405FA-C753-49FF-839B-6121A88FAC11}" name="Thickness [mm]" dataDxfId="53"/>
    <tableColumn id="7" xr3:uid="{61F56042-F8C5-4318-A039-6B6299D24CD7}" name="Geometry Filename (no ext.)" dataDxfId="52"/>
    <tableColumn id="8" xr3:uid="{6D326BAF-EF74-4231-90E4-27C7414D8BBF}" name="Geometry Format" dataDxfId="51"/>
    <tableColumn id="9" xr3:uid="{FB963D43-4FF5-46A5-8A0C-2089D53FC84A}" name="Length [mm]" dataDxfId="50"/>
    <tableColumn id="10" xr3:uid="{48881D14-056C-4227-96E1-903F27F77ADF}" name="Width [mm]" dataDxfId="49"/>
    <tableColumn id="11" xr3:uid="{456C82D5-AAB6-4678-8FE4-D5F9B7BE251A}" name="UserData 1" dataDxfId="48"/>
    <tableColumn id="12" xr3:uid="{0E93B429-6B5B-4EB0-B8E1-2C24C3FAC329}" name="UserData 2" dataDxfId="47"/>
    <tableColumn id="13" xr3:uid="{54F2D3C2-C257-4CDF-8D6F-2EA0E4596A06}" name="UserData 3" dataDxfId="46"/>
    <tableColumn id="14" xr3:uid="{5147A30C-41A1-4952-B023-C6F21B2E86AF}" name="Price per Weight [cur]" dataDxfId="45"/>
    <tableColumn id="15" xr3:uid="{751E8762-1C5E-4565-A12D-13010EAA3F17}" name="Remnant Price [%]" dataDxfId="44"/>
    <tableColumn id="16" xr3:uid="{F9091285-5C4B-4CEF-84E6-79D953C1A523}" name="Scrap Price [%]" dataDxfId="43"/>
    <tableColumn id="17" xr3:uid="{97909BB9-E164-49F9-8BF2-C67F4333D40F}" name="Original Sheet" dataDxfId="42"/>
    <tableColumn id="18" xr3:uid="{9BD1E44D-10FC-43FF-850E-60577DE13B67}" name="Description" dataDxfId="41"/>
    <tableColumn id="19" xr3:uid="{757FD333-53C3-4924-9A1C-8530F543B086}" name="Tracking Number" dataDxfId="40"/>
    <tableColumn id="20" xr3:uid="{4227DF98-5355-4949-8856-632D937B17A9}" name="Supplier" dataDxfId="39"/>
    <tableColumn id="21" xr3:uid="{0132989A-62CC-4734-B056-10084215C3EF}" name="Supplier Batch Number" dataDxfId="38"/>
    <tableColumn id="22" xr3:uid="{7301EF2E-A696-4558-A493-ECB9F2F7CC1E}" name="Casting Number" dataDxfId="37"/>
    <tableColumn id="23" xr3:uid="{869B0EA7-2E8D-4C2C-AF1C-38792B10F787}" name="Warehouse" dataDxfId="36"/>
    <tableColumn id="24" xr3:uid="{B0908ED2-DA50-43FB-BEFE-28C6C40D96EE}" name="Location" dataDxfId="35"/>
    <tableColumn id="25" xr3:uid="{CAD4E081-9B15-4763-B2DD-2C671B865C83}" name="Unit Cost [cur]" dataDxfId="34"/>
    <tableColumn id="26" xr3:uid="{3DF58294-D54E-4B6D-8015-C5ED319D408E}" name="RealWeight [kg]" dataDxfId="33"/>
    <tableColumn id="27" xr3:uid="{DFED08E6-C9BA-4B66-8CA9-B685921325AA}" name="Quantity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18238F-03DF-4DEE-830E-DEBF2CAC6D1E}" name="Tabela4" displayName="Tabela4" ref="A4:AA20" totalsRowShown="0" headerRowDxfId="31" dataDxfId="29" headerRowBorderDxfId="30" tableBorderDxfId="28" totalsRowBorderDxfId="27">
  <autoFilter ref="A4:AA20" xr:uid="{67EC6AF7-3EAD-4D76-BE74-D12298A552D9}"/>
  <tableColumns count="27">
    <tableColumn id="1" xr3:uid="{5D3275B8-95B8-4DF5-9939-7A3B71684706}" name="LP" dataDxfId="26"/>
    <tableColumn id="2" xr3:uid="{26E7527B-0B57-4FAC-B5E8-BD070AFE2503}" name="IsRemnant (empty=no)" dataDxfId="25"/>
    <tableColumn id="3" xr3:uid="{3179FE8E-8580-4347-9629-BDA12F6C4B40}" name="Profile's Referene" dataDxfId="24"/>
    <tableColumn id="4" xr3:uid="{83ED33AB-F50D-4CF5-A946-8555E84DF56F}" name="Profile's Name" dataDxfId="23"/>
    <tableColumn id="5" xr3:uid="{8E671668-53C6-4E6A-BFC8-D6D4112B949A}" name="Material" dataDxfId="22"/>
    <tableColumn id="6" xr3:uid="{D720C308-655D-473A-A0A7-336B73FAF3F2}" name="NA" dataDxfId="21"/>
    <tableColumn id="7" xr3:uid="{22B801C7-22BD-42A3-97DE-D1EFB335E750}" name="NA2" dataDxfId="20"/>
    <tableColumn id="8" xr3:uid="{34A88507-9780-44CD-BD4A-D5D652B38967}" name="NA3" dataDxfId="19"/>
    <tableColumn id="9" xr3:uid="{5EB08814-D81F-4DBF-9F01-5B3320A5717E}" name="Length [mm]" dataDxfId="18"/>
    <tableColumn id="10" xr3:uid="{FBBA0979-45CF-4763-94D6-EC791CAE44D1}" name="Profile Format" dataDxfId="17"/>
    <tableColumn id="11" xr3:uid="{914BBBD9-3139-47AC-8ED7-F52ECD110E8F}" name="UserData 1" dataDxfId="16"/>
    <tableColumn id="12" xr3:uid="{D6456988-9ED9-4581-BAD1-E355A0CB5876}" name="UserData 2" dataDxfId="15"/>
    <tableColumn id="13" xr3:uid="{FCDC9000-FAB3-4C2B-8EEF-73EB841795B0}" name="UserData 3" dataDxfId="14"/>
    <tableColumn id="14" xr3:uid="{88AC0168-3597-450B-AB19-DAED644FAC65}" name="Price per Weight [cur]" dataDxfId="13"/>
    <tableColumn id="15" xr3:uid="{95E93FC0-1ABC-4C7A-8879-7DACA8006899}" name="Remnant Price [%]" dataDxfId="12"/>
    <tableColumn id="16" xr3:uid="{068F1AC7-C301-4937-B204-60813189E3D1}" name="Scrap Price [%]" dataDxfId="11"/>
    <tableColumn id="17" xr3:uid="{0053C9D9-7199-4CD0-8DAA-F757303E0552}" name="Original Sheet" dataDxfId="10"/>
    <tableColumn id="18" xr3:uid="{F86E97E8-67B9-4CEA-A0A7-FDA4A42BF767}" name="Description" dataDxfId="9"/>
    <tableColumn id="19" xr3:uid="{F93AE493-6ED4-4C89-86C5-0977B08E6FEC}" name="Tracking Number" dataDxfId="8"/>
    <tableColumn id="20" xr3:uid="{6053E686-C325-46A5-B438-C052A0338B0D}" name="Supplier" dataDxfId="7"/>
    <tableColumn id="21" xr3:uid="{505CD760-D148-4FFC-90A1-7BBE736848E9}" name="Supplier Batch Number" dataDxfId="6"/>
    <tableColumn id="22" xr3:uid="{D21844CF-057C-47D1-A752-66D14EC9D246}" name="Casting Number" dataDxfId="5"/>
    <tableColumn id="23" xr3:uid="{7288B16F-05C7-4AF2-918D-919B73E2EAE4}" name="Warehouse" dataDxfId="4"/>
    <tableColumn id="24" xr3:uid="{5734A8B4-D88B-43F5-827F-BD400F884619}" name="Location" dataDxfId="3"/>
    <tableColumn id="25" xr3:uid="{64105653-FBA9-498C-8770-B1BACCF6D812}" name="Unit Cost [cur]" dataDxfId="2"/>
    <tableColumn id="26" xr3:uid="{59DC9E8A-2B02-4531-9AD9-5C82E3FDDFF2}" name="RealWeight [kg]" dataDxfId="1"/>
    <tableColumn id="27" xr3:uid="{F1A639A7-F5E1-46A5-A870-DCDCA8B36CC3}" name="Quantit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5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12" Type="http://schemas.openxmlformats.org/officeDocument/2006/relationships/control" Target="../activeX/activeX13.xml"/><Relationship Id="rId17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7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7.emf"/><Relationship Id="rId4" Type="http://schemas.openxmlformats.org/officeDocument/2006/relationships/control" Target="../activeX/activeX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9.xml"/><Relationship Id="rId11" Type="http://schemas.openxmlformats.org/officeDocument/2006/relationships/image" Target="../media/image16.emf"/><Relationship Id="rId5" Type="http://schemas.openxmlformats.org/officeDocument/2006/relationships/image" Target="../media/image7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3.xml"/><Relationship Id="rId11" Type="http://schemas.openxmlformats.org/officeDocument/2006/relationships/image" Target="../media/image7.emf"/><Relationship Id="rId5" Type="http://schemas.openxmlformats.org/officeDocument/2006/relationships/image" Target="../media/image1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EDEA4-B34E-4E0A-84F6-FB7A0298D868}">
  <sheetPr codeName="Arkusz1"/>
  <dimension ref="A1:AO5"/>
  <sheetViews>
    <sheetView tabSelected="1" topLeftCell="I1" zoomScale="90" zoomScaleNormal="90" workbookViewId="0">
      <selection activeCell="V17" sqref="V17"/>
    </sheetView>
  </sheetViews>
  <sheetFormatPr defaultRowHeight="14.4" x14ac:dyDescent="0.3"/>
  <cols>
    <col min="1" max="1" width="5.5546875" customWidth="1"/>
    <col min="2" max="2" width="11" customWidth="1"/>
    <col min="3" max="3" width="41" bestFit="1" customWidth="1"/>
    <col min="4" max="4" width="26" customWidth="1"/>
    <col min="5" max="5" width="10.44140625" customWidth="1"/>
    <col min="6" max="6" width="31.5546875" style="5" customWidth="1"/>
    <col min="7" max="7" width="26.44140625" style="5" customWidth="1"/>
    <col min="8" max="8" width="18.6640625" style="5" customWidth="1"/>
    <col min="9" max="9" width="14.5546875" style="5" customWidth="1"/>
    <col min="10" max="10" width="13.6640625" style="5" customWidth="1"/>
    <col min="11" max="11" width="10.5546875" style="5" customWidth="1"/>
    <col min="12" max="12" width="9.6640625" style="5" customWidth="1"/>
    <col min="13" max="17" width="13.109375" customWidth="1"/>
    <col min="18" max="18" width="17.33203125" customWidth="1"/>
    <col min="19" max="20" width="13.109375" customWidth="1"/>
    <col min="21" max="21" width="21.88671875" customWidth="1"/>
    <col min="22" max="25" width="17.5546875" bestFit="1" customWidth="1"/>
    <col min="26" max="26" width="11.88671875" customWidth="1"/>
    <col min="27" max="27" width="13.109375" customWidth="1"/>
    <col min="28" max="28" width="18.6640625" customWidth="1"/>
    <col min="29" max="29" width="11.88671875" customWidth="1"/>
    <col min="30" max="30" width="13.109375" customWidth="1"/>
    <col min="31" max="31" width="18.6640625" customWidth="1"/>
    <col min="32" max="32" width="11.88671875" customWidth="1"/>
    <col min="33" max="33" width="13.109375" customWidth="1"/>
    <col min="34" max="34" width="18.6640625" customWidth="1"/>
    <col min="35" max="35" width="11.88671875" customWidth="1"/>
    <col min="36" max="36" width="13.109375" customWidth="1"/>
    <col min="37" max="37" width="18.6640625" customWidth="1"/>
    <col min="38" max="38" width="11.88671875" customWidth="1"/>
    <col min="39" max="39" width="13.109375" customWidth="1"/>
    <col min="40" max="40" width="18.6640625" customWidth="1"/>
    <col min="41" max="41" width="21.88671875" style="5" customWidth="1"/>
  </cols>
  <sheetData>
    <row r="1" spans="1:41" x14ac:dyDescent="0.3">
      <c r="F1"/>
      <c r="G1"/>
      <c r="H1"/>
      <c r="I1"/>
      <c r="J1"/>
      <c r="K1"/>
      <c r="L1"/>
      <c r="R1" s="25" t="s">
        <v>86</v>
      </c>
    </row>
    <row r="2" spans="1:41" x14ac:dyDescent="0.3">
      <c r="G2" s="6" t="s">
        <v>140</v>
      </c>
      <c r="J2" s="6" t="s">
        <v>92</v>
      </c>
      <c r="R2" s="24" t="s">
        <v>103</v>
      </c>
    </row>
    <row r="3" spans="1:41" x14ac:dyDescent="0.3"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</row>
    <row r="4" spans="1:41" ht="50.1" customHeight="1" thickBot="1" x14ac:dyDescent="0.35">
      <c r="A4" s="11" t="s">
        <v>0</v>
      </c>
      <c r="B4" s="11" t="s">
        <v>1</v>
      </c>
      <c r="C4" s="11" t="s">
        <v>2</v>
      </c>
      <c r="D4" s="11" t="s">
        <v>3</v>
      </c>
      <c r="E4" s="11" t="s">
        <v>4</v>
      </c>
      <c r="F4" s="12" t="s">
        <v>5</v>
      </c>
      <c r="G4" s="12" t="s">
        <v>27</v>
      </c>
      <c r="H4" s="12" t="s">
        <v>28</v>
      </c>
      <c r="I4" s="12" t="s">
        <v>21</v>
      </c>
      <c r="J4" s="12" t="s">
        <v>29</v>
      </c>
      <c r="K4" s="12" t="s">
        <v>6</v>
      </c>
      <c r="L4" s="12" t="s">
        <v>7</v>
      </c>
      <c r="M4" s="11" t="s">
        <v>8</v>
      </c>
      <c r="N4" s="11" t="s">
        <v>9</v>
      </c>
      <c r="O4" s="11" t="s">
        <v>10</v>
      </c>
      <c r="P4" s="11" t="s">
        <v>11</v>
      </c>
      <c r="Q4" s="11" t="s">
        <v>12</v>
      </c>
      <c r="R4" s="11" t="s">
        <v>13</v>
      </c>
      <c r="S4" s="11" t="s">
        <v>14</v>
      </c>
      <c r="T4" s="11" t="s">
        <v>15</v>
      </c>
      <c r="U4" s="13" t="s">
        <v>18</v>
      </c>
      <c r="V4" s="13" t="s">
        <v>17</v>
      </c>
      <c r="W4" s="13" t="s">
        <v>16</v>
      </c>
      <c r="X4" s="13" t="s">
        <v>19</v>
      </c>
      <c r="Y4" s="13" t="s">
        <v>20</v>
      </c>
      <c r="Z4" s="13" t="s">
        <v>31</v>
      </c>
      <c r="AA4" s="13" t="s">
        <v>32</v>
      </c>
      <c r="AB4" s="13" t="s">
        <v>33</v>
      </c>
      <c r="AC4" s="13" t="s">
        <v>35</v>
      </c>
      <c r="AD4" s="13" t="s">
        <v>36</v>
      </c>
      <c r="AE4" s="13" t="s">
        <v>37</v>
      </c>
      <c r="AF4" s="13" t="s">
        <v>38</v>
      </c>
      <c r="AG4" s="13" t="s">
        <v>39</v>
      </c>
      <c r="AH4" s="13" t="s">
        <v>40</v>
      </c>
      <c r="AI4" s="13" t="s">
        <v>41</v>
      </c>
      <c r="AJ4" s="13" t="s">
        <v>42</v>
      </c>
      <c r="AK4" s="13" t="s">
        <v>43</v>
      </c>
      <c r="AL4" s="13" t="s">
        <v>44</v>
      </c>
      <c r="AM4" s="13" t="s">
        <v>45</v>
      </c>
      <c r="AN4" s="13" t="s">
        <v>46</v>
      </c>
      <c r="AO4" s="23" t="s">
        <v>85</v>
      </c>
    </row>
    <row r="5" spans="1:41" ht="31.5" customHeight="1" thickTop="1" x14ac:dyDescent="0.3">
      <c r="A5" s="1">
        <v>1</v>
      </c>
      <c r="B5" s="1"/>
      <c r="C5" t="s">
        <v>142</v>
      </c>
      <c r="D5" s="2"/>
      <c r="E5" t="s">
        <v>91</v>
      </c>
      <c r="F5">
        <v>10</v>
      </c>
      <c r="G5" t="s">
        <v>141</v>
      </c>
      <c r="H5" s="3" t="s">
        <v>104</v>
      </c>
      <c r="I5" s="3"/>
      <c r="J5" s="3"/>
      <c r="K5" s="25">
        <v>2</v>
      </c>
      <c r="L5" s="3"/>
      <c r="M5" s="1"/>
      <c r="N5" s="1"/>
      <c r="O5" s="1"/>
      <c r="P5" s="1"/>
      <c r="Q5" s="1"/>
      <c r="R5" s="1"/>
      <c r="S5" s="1"/>
      <c r="T5" s="1" t="s">
        <v>142</v>
      </c>
      <c r="U5" s="9"/>
      <c r="V5" s="4"/>
      <c r="W5" s="4"/>
      <c r="X5" s="4"/>
      <c r="Y5" s="4"/>
      <c r="Z5" s="8" t="s">
        <v>89</v>
      </c>
      <c r="AA5" s="8" t="s">
        <v>34</v>
      </c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25">
        <v>2</v>
      </c>
    </row>
  </sheetData>
  <phoneticPr fontId="1" type="noConversion"/>
  <dataValidations count="1">
    <dataValidation type="list" allowBlank="1" showInputMessage="1" showErrorMessage="1" promptTitle="Wybierz format pliku." sqref="H5" xr:uid="{5F8DD573-61D9-42CF-A8B6-9CFACAC76D2C}">
      <formula1>"DXF,DWG,DSTV"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ExportAssembly_SP">
          <controlPr defaultSize="0" autoFill="0" autoLine="0" r:id="rId5">
            <anchor>
              <from>
                <xdr:col>13</xdr:col>
                <xdr:colOff>220980</xdr:colOff>
                <xdr:row>0</xdr:row>
                <xdr:rowOff>121920</xdr:rowOff>
              </from>
              <to>
                <xdr:col>14</xdr:col>
                <xdr:colOff>563880</xdr:colOff>
                <xdr:row>2</xdr:row>
                <xdr:rowOff>7620</xdr:rowOff>
              </to>
            </anchor>
          </controlPr>
        </control>
      </mc:Choice>
      <mc:Fallback>
        <control shapeId="1033" r:id="rId4" name="ExportAssembly_SP"/>
      </mc:Fallback>
    </mc:AlternateContent>
    <mc:AlternateContent xmlns:mc="http://schemas.openxmlformats.org/markup-compatibility/2006">
      <mc:Choice Requires="x14">
        <control shapeId="1032" r:id="rId6" name="DefaultCuttingMachine_SP">
          <controlPr defaultSize="0" autoFill="0" autoLine="0" r:id="rId7">
            <anchor>
              <from>
                <xdr:col>8</xdr:col>
                <xdr:colOff>373380</xdr:colOff>
                <xdr:row>0</xdr:row>
                <xdr:rowOff>160020</xdr:rowOff>
              </from>
              <to>
                <xdr:col>10</xdr:col>
                <xdr:colOff>342900</xdr:colOff>
                <xdr:row>2</xdr:row>
                <xdr:rowOff>68580</xdr:rowOff>
              </to>
            </anchor>
          </controlPr>
        </control>
      </mc:Choice>
      <mc:Fallback>
        <control shapeId="1032" r:id="rId6" name="DefaultCuttingMachine_SP"/>
      </mc:Fallback>
    </mc:AlternateContent>
    <mc:AlternateContent xmlns:mc="http://schemas.openxmlformats.org/markup-compatibility/2006">
      <mc:Choice Requires="x14">
        <control shapeId="1031" r:id="rId8" name="ExportGeo_SP">
          <controlPr defaultSize="0" autoFill="0" autoLine="0" autoPict="0" r:id="rId9">
            <anchor>
              <from>
                <xdr:col>2</xdr:col>
                <xdr:colOff>2072640</xdr:colOff>
                <xdr:row>0</xdr:row>
                <xdr:rowOff>152400</xdr:rowOff>
              </from>
              <to>
                <xdr:col>3</xdr:col>
                <xdr:colOff>662940</xdr:colOff>
                <xdr:row>2</xdr:row>
                <xdr:rowOff>30480</xdr:rowOff>
              </to>
            </anchor>
          </controlPr>
        </control>
      </mc:Choice>
      <mc:Fallback>
        <control shapeId="1031" r:id="rId8" name="ExportGeo_SP"/>
      </mc:Fallback>
    </mc:AlternateContent>
    <mc:AlternateContent xmlns:mc="http://schemas.openxmlformats.org/markup-compatibility/2006">
      <mc:Choice Requires="x14">
        <control shapeId="1029" r:id="rId10" name="ExportQuote_SP">
          <controlPr defaultSize="0" autoFill="0" autoLine="0" r:id="rId11">
            <anchor>
              <from>
                <xdr:col>6</xdr:col>
                <xdr:colOff>419100</xdr:colOff>
                <xdr:row>0</xdr:row>
                <xdr:rowOff>175260</xdr:rowOff>
              </from>
              <to>
                <xdr:col>7</xdr:col>
                <xdr:colOff>30480</xdr:colOff>
                <xdr:row>2</xdr:row>
                <xdr:rowOff>60960</xdr:rowOff>
              </to>
            </anchor>
          </controlPr>
        </control>
      </mc:Choice>
      <mc:Fallback>
        <control shapeId="1029" r:id="rId10" name="ExportQuote_SP"/>
      </mc:Fallback>
    </mc:AlternateContent>
    <mc:AlternateContent xmlns:mc="http://schemas.openxmlformats.org/markup-compatibility/2006">
      <mc:Choice Requires="x14">
        <control shapeId="1028" r:id="rId12" name="ExportManufacturingOrder_SP">
          <controlPr defaultSize="0" autoFill="0" autoLine="0" r:id="rId13">
            <anchor>
              <from>
                <xdr:col>3</xdr:col>
                <xdr:colOff>708660</xdr:colOff>
                <xdr:row>0</xdr:row>
                <xdr:rowOff>175260</xdr:rowOff>
              </from>
              <to>
                <xdr:col>3</xdr:col>
                <xdr:colOff>1699260</xdr:colOff>
                <xdr:row>2</xdr:row>
                <xdr:rowOff>60960</xdr:rowOff>
              </to>
            </anchor>
          </controlPr>
        </control>
      </mc:Choice>
      <mc:Fallback>
        <control shapeId="1028" r:id="rId12" name="ExportManufacturingOrder_SP"/>
      </mc:Fallback>
    </mc:AlternateContent>
    <mc:AlternateContent xmlns:mc="http://schemas.openxmlformats.org/markup-compatibility/2006">
      <mc:Choice Requires="x14">
        <control shapeId="1027" r:id="rId14" name="ExportProduct_SP">
          <controlPr defaultSize="0" autoFill="0" autoLine="0" r:id="rId15">
            <anchor>
              <from>
                <xdr:col>2</xdr:col>
                <xdr:colOff>800100</xdr:colOff>
                <xdr:row>0</xdr:row>
                <xdr:rowOff>152400</xdr:rowOff>
              </from>
              <to>
                <xdr:col>2</xdr:col>
                <xdr:colOff>2026920</xdr:colOff>
                <xdr:row>2</xdr:row>
                <xdr:rowOff>60960</xdr:rowOff>
              </to>
            </anchor>
          </controlPr>
        </control>
      </mc:Choice>
      <mc:Fallback>
        <control shapeId="1027" r:id="rId14" name="ExportProduct_SP"/>
      </mc:Fallback>
    </mc:AlternateContent>
    <mc:AlternateContent xmlns:mc="http://schemas.openxmlformats.org/markup-compatibility/2006">
      <mc:Choice Requires="x14">
        <control shapeId="1026" r:id="rId16" name="ExportXML_SheetParts">
          <controlPr defaultSize="0" autoLine="0" r:id="rId17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419100</xdr:colOff>
                <xdr:row>2</xdr:row>
                <xdr:rowOff>83820</xdr:rowOff>
              </to>
            </anchor>
          </controlPr>
        </control>
      </mc:Choice>
      <mc:Fallback>
        <control shapeId="1026" r:id="rId16" name="ExportXML_SheetParts"/>
      </mc:Fallback>
    </mc:AlternateContent>
    <mc:AlternateContent xmlns:mc="http://schemas.openxmlformats.org/markup-compatibility/2006">
      <mc:Choice Requires="x14">
        <control shapeId="1034" r:id="rId18" name="ExportSaleOrder_SP">
          <controlPr defaultSize="0" autoFill="0" autoLine="0" r:id="rId19">
            <anchor>
              <from>
                <xdr:col>4</xdr:col>
                <xdr:colOff>38100</xdr:colOff>
                <xdr:row>0</xdr:row>
                <xdr:rowOff>99060</xdr:rowOff>
              </from>
              <to>
                <xdr:col>5</xdr:col>
                <xdr:colOff>403860</xdr:colOff>
                <xdr:row>2</xdr:row>
                <xdr:rowOff>160020</xdr:rowOff>
              </to>
            </anchor>
          </controlPr>
        </control>
      </mc:Choice>
      <mc:Fallback>
        <control shapeId="1034" r:id="rId18" name="ExportSaleOrder_SP"/>
      </mc:Fallback>
    </mc:AlternateContent>
  </controls>
  <tableParts count="1"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97122-D8FF-48B8-A5EA-6420E9F46773}">
  <sheetPr codeName="Arkusz2"/>
  <dimension ref="A1:AO78"/>
  <sheetViews>
    <sheetView zoomScale="90" zoomScaleNormal="90" workbookViewId="0">
      <selection activeCell="K2" sqref="K2"/>
    </sheetView>
  </sheetViews>
  <sheetFormatPr defaultRowHeight="14.4" x14ac:dyDescent="0.3"/>
  <cols>
    <col min="1" max="1" width="5.5546875" customWidth="1"/>
    <col min="2" max="2" width="11" customWidth="1"/>
    <col min="3" max="3" width="19.6640625" customWidth="1"/>
    <col min="4" max="4" width="26" customWidth="1"/>
    <col min="5" max="5" width="10.44140625" customWidth="1"/>
    <col min="6" max="6" width="14.5546875" style="5" customWidth="1"/>
    <col min="7" max="7" width="10.5546875" style="5" customWidth="1"/>
    <col min="8" max="8" width="28.109375" customWidth="1"/>
    <col min="9" max="16" width="13.109375" customWidth="1"/>
    <col min="17" max="18" width="11.33203125" style="5" customWidth="1"/>
    <col min="19" max="20" width="10.6640625" style="5" customWidth="1"/>
    <col min="21" max="21" width="21.88671875" customWidth="1"/>
    <col min="22" max="25" width="17.5546875" bestFit="1" customWidth="1"/>
    <col min="26" max="26" width="11.88671875" customWidth="1"/>
    <col min="27" max="27" width="13.109375" customWidth="1"/>
    <col min="28" max="28" width="18.6640625" hidden="1" customWidth="1"/>
    <col min="29" max="29" width="11.88671875" hidden="1" customWidth="1"/>
    <col min="30" max="30" width="13.109375" hidden="1" customWidth="1"/>
    <col min="31" max="31" width="18.6640625" hidden="1" customWidth="1"/>
    <col min="32" max="32" width="11.88671875" hidden="1" customWidth="1"/>
    <col min="33" max="33" width="13.109375" hidden="1" customWidth="1"/>
    <col min="34" max="34" width="18.6640625" hidden="1" customWidth="1"/>
    <col min="35" max="35" width="11.88671875" hidden="1" customWidth="1"/>
    <col min="36" max="36" width="13.109375" hidden="1" customWidth="1"/>
    <col min="37" max="37" width="18.6640625" hidden="1" customWidth="1"/>
    <col min="38" max="38" width="11.88671875" hidden="1" customWidth="1"/>
    <col min="39" max="39" width="13.109375" hidden="1" customWidth="1"/>
    <col min="40" max="40" width="18.6640625" customWidth="1"/>
    <col min="41" max="41" width="13.33203125" customWidth="1"/>
  </cols>
  <sheetData>
    <row r="1" spans="1:41" x14ac:dyDescent="0.3">
      <c r="R1" s="25" t="s">
        <v>86</v>
      </c>
    </row>
    <row r="2" spans="1:41" x14ac:dyDescent="0.3">
      <c r="H2" s="6" t="s">
        <v>100</v>
      </c>
      <c r="K2" s="6" t="s">
        <v>99</v>
      </c>
      <c r="R2" s="24" t="s">
        <v>95</v>
      </c>
    </row>
    <row r="3" spans="1:41" ht="93.75" customHeight="1" thickBot="1" x14ac:dyDescent="0.35">
      <c r="Q3"/>
      <c r="R3"/>
      <c r="S3"/>
      <c r="T3"/>
    </row>
    <row r="4" spans="1:41" ht="50.1" customHeight="1" thickBot="1" x14ac:dyDescent="0.35">
      <c r="A4" s="11" t="s">
        <v>0</v>
      </c>
      <c r="B4" s="11" t="s">
        <v>1</v>
      </c>
      <c r="C4" s="11" t="s">
        <v>26</v>
      </c>
      <c r="D4" s="11" t="s">
        <v>3</v>
      </c>
      <c r="E4" s="11" t="s">
        <v>4</v>
      </c>
      <c r="F4" s="12" t="s">
        <v>21</v>
      </c>
      <c r="G4" s="12" t="s">
        <v>6</v>
      </c>
      <c r="H4" s="11" t="s">
        <v>22</v>
      </c>
      <c r="I4" s="11" t="s">
        <v>8</v>
      </c>
      <c r="J4" s="11" t="s">
        <v>9</v>
      </c>
      <c r="K4" s="11" t="s">
        <v>10</v>
      </c>
      <c r="L4" s="11" t="s">
        <v>11</v>
      </c>
      <c r="M4" s="11" t="s">
        <v>12</v>
      </c>
      <c r="N4" s="11" t="s">
        <v>13</v>
      </c>
      <c r="O4" s="11" t="s">
        <v>14</v>
      </c>
      <c r="P4" s="11" t="s">
        <v>15</v>
      </c>
      <c r="Q4" s="20" t="s">
        <v>72</v>
      </c>
      <c r="R4" s="20" t="s">
        <v>73</v>
      </c>
      <c r="S4" s="20" t="s">
        <v>74</v>
      </c>
      <c r="T4" s="20" t="s">
        <v>75</v>
      </c>
      <c r="U4" s="13" t="s">
        <v>18</v>
      </c>
      <c r="V4" s="13" t="s">
        <v>17</v>
      </c>
      <c r="W4" s="13" t="s">
        <v>16</v>
      </c>
      <c r="X4" s="13" t="s">
        <v>19</v>
      </c>
      <c r="Y4" s="13" t="s">
        <v>20</v>
      </c>
      <c r="Z4" s="13" t="s">
        <v>31</v>
      </c>
      <c r="AA4" s="13" t="s">
        <v>32</v>
      </c>
      <c r="AB4" s="13" t="s">
        <v>33</v>
      </c>
      <c r="AC4" s="13" t="s">
        <v>35</v>
      </c>
      <c r="AD4" s="13" t="s">
        <v>36</v>
      </c>
      <c r="AE4" s="13" t="s">
        <v>37</v>
      </c>
      <c r="AF4" s="13" t="s">
        <v>38</v>
      </c>
      <c r="AG4" s="13" t="s">
        <v>39</v>
      </c>
      <c r="AH4" s="13" t="s">
        <v>40</v>
      </c>
      <c r="AI4" s="13" t="s">
        <v>41</v>
      </c>
      <c r="AJ4" s="13" t="s">
        <v>42</v>
      </c>
      <c r="AK4" s="13" t="s">
        <v>43</v>
      </c>
      <c r="AL4" s="13" t="s">
        <v>44</v>
      </c>
      <c r="AM4" s="13" t="s">
        <v>45</v>
      </c>
      <c r="AN4" s="13" t="s">
        <v>46</v>
      </c>
      <c r="AO4" s="30" t="s">
        <v>85</v>
      </c>
    </row>
    <row r="5" spans="1:41" ht="31.5" customHeight="1" thickTop="1" x14ac:dyDescent="0.3">
      <c r="A5" s="1">
        <v>1</v>
      </c>
      <c r="B5" s="1"/>
      <c r="C5" s="2" t="s">
        <v>101</v>
      </c>
      <c r="D5" s="2" t="s">
        <v>77</v>
      </c>
      <c r="E5" s="1" t="s">
        <v>91</v>
      </c>
      <c r="F5" s="3">
        <v>500</v>
      </c>
      <c r="G5" s="3">
        <v>5</v>
      </c>
      <c r="H5" s="1" t="s">
        <v>98</v>
      </c>
      <c r="I5" s="1"/>
      <c r="J5" s="1"/>
      <c r="K5" s="1"/>
      <c r="L5" s="1"/>
      <c r="M5" s="1"/>
      <c r="N5" s="1"/>
      <c r="O5" s="1"/>
      <c r="P5" s="1"/>
      <c r="Q5" s="3"/>
      <c r="R5" s="3"/>
      <c r="S5" s="3"/>
      <c r="T5" s="3"/>
      <c r="U5" s="9"/>
      <c r="V5" s="4"/>
      <c r="W5" s="4"/>
      <c r="X5" s="4"/>
      <c r="Y5" s="4"/>
      <c r="Z5" s="8" t="s">
        <v>76</v>
      </c>
      <c r="AA5" s="8" t="s">
        <v>97</v>
      </c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29">
        <v>1</v>
      </c>
    </row>
    <row r="6" spans="1:41" ht="31.5" customHeight="1" x14ac:dyDescent="0.3">
      <c r="A6" s="1">
        <v>2</v>
      </c>
      <c r="B6" s="1"/>
      <c r="C6" s="2" t="s">
        <v>102</v>
      </c>
      <c r="D6" s="2" t="s">
        <v>77</v>
      </c>
      <c r="E6" s="1" t="s">
        <v>91</v>
      </c>
      <c r="F6" s="3">
        <v>500</v>
      </c>
      <c r="G6" s="3">
        <v>5</v>
      </c>
      <c r="H6" s="1" t="s">
        <v>98</v>
      </c>
      <c r="I6" s="1"/>
      <c r="J6" s="1"/>
      <c r="K6" s="1"/>
      <c r="L6" s="1"/>
      <c r="M6" s="1"/>
      <c r="N6" s="1"/>
      <c r="O6" s="1"/>
      <c r="P6" s="1"/>
      <c r="Q6" s="3"/>
      <c r="R6" s="3"/>
      <c r="S6" s="3"/>
      <c r="T6" s="3"/>
      <c r="U6" s="9"/>
      <c r="V6" s="4"/>
      <c r="W6" s="4"/>
      <c r="X6" s="4"/>
      <c r="Y6" s="4"/>
      <c r="Z6" s="8" t="s">
        <v>76</v>
      </c>
      <c r="AA6" s="8" t="s">
        <v>97</v>
      </c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29">
        <v>5</v>
      </c>
    </row>
    <row r="7" spans="1:41" ht="31.5" customHeight="1" x14ac:dyDescent="0.3">
      <c r="A7" s="1"/>
      <c r="B7" s="1"/>
      <c r="C7" s="2"/>
      <c r="D7" s="2"/>
      <c r="E7" s="1"/>
      <c r="F7" s="3"/>
      <c r="G7" s="3"/>
      <c r="H7" s="1"/>
      <c r="I7" s="1"/>
      <c r="J7" s="1"/>
      <c r="K7" s="1"/>
      <c r="L7" s="1"/>
      <c r="M7" s="1"/>
      <c r="N7" s="1"/>
      <c r="O7" s="1"/>
      <c r="P7" s="1"/>
      <c r="Q7" s="3"/>
      <c r="R7" s="3"/>
      <c r="S7" s="3"/>
      <c r="T7" s="3"/>
      <c r="U7" s="9"/>
      <c r="V7" s="4"/>
      <c r="W7" s="4"/>
      <c r="X7" s="4"/>
      <c r="Y7" s="4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</row>
    <row r="8" spans="1:41" ht="31.5" customHeight="1" x14ac:dyDescent="0.3">
      <c r="A8" s="1"/>
      <c r="B8" s="1"/>
      <c r="C8" s="2"/>
      <c r="D8" s="2"/>
      <c r="E8" s="1"/>
      <c r="F8" s="3"/>
      <c r="G8" s="3"/>
      <c r="H8" s="1"/>
      <c r="I8" s="1"/>
      <c r="J8" s="1"/>
      <c r="K8" s="1"/>
      <c r="L8" s="1"/>
      <c r="M8" s="1"/>
      <c r="N8" s="1"/>
      <c r="O8" s="1"/>
      <c r="P8" s="1"/>
      <c r="Q8" s="3"/>
      <c r="R8" s="3"/>
      <c r="S8" s="3"/>
      <c r="T8" s="3"/>
      <c r="U8" s="9"/>
      <c r="V8" s="4"/>
      <c r="W8" s="4"/>
      <c r="X8" s="4"/>
      <c r="Y8" s="4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</row>
    <row r="9" spans="1:41" ht="31.5" customHeight="1" x14ac:dyDescent="0.3">
      <c r="A9" s="1"/>
      <c r="B9" s="1"/>
      <c r="C9" s="2"/>
      <c r="D9" s="2"/>
      <c r="E9" s="1"/>
      <c r="F9" s="3"/>
      <c r="G9" s="3"/>
      <c r="H9" s="1"/>
      <c r="I9" s="1"/>
      <c r="J9" s="1"/>
      <c r="K9" s="1"/>
      <c r="L9" s="1"/>
      <c r="M9" s="1"/>
      <c r="N9" s="1"/>
      <c r="O9" s="1"/>
      <c r="P9" s="1"/>
      <c r="Q9" s="3"/>
      <c r="R9" s="3"/>
      <c r="S9" s="3"/>
      <c r="T9" s="3"/>
      <c r="U9" s="9"/>
      <c r="V9" s="4"/>
      <c r="W9" s="4"/>
      <c r="X9" s="4"/>
      <c r="Y9" s="4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31.5" customHeight="1" x14ac:dyDescent="0.3">
      <c r="A10" s="1"/>
      <c r="B10" s="1"/>
      <c r="C10" s="2"/>
      <c r="D10" s="2"/>
      <c r="E10" s="10"/>
      <c r="F10" s="3"/>
      <c r="G10" s="3"/>
      <c r="H10" s="1"/>
      <c r="I10" s="1"/>
      <c r="J10" s="1"/>
      <c r="K10" s="1"/>
      <c r="L10" s="1"/>
      <c r="M10" s="1"/>
      <c r="N10" s="1"/>
      <c r="O10" s="1"/>
      <c r="P10" s="1"/>
      <c r="Q10" s="3"/>
      <c r="R10" s="3"/>
      <c r="S10" s="3"/>
      <c r="T10" s="3"/>
      <c r="U10" s="9"/>
      <c r="V10" s="4"/>
      <c r="W10" s="4"/>
      <c r="X10" s="4"/>
      <c r="Y10" s="4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31.5" customHeight="1" x14ac:dyDescent="0.3">
      <c r="A11" s="1"/>
      <c r="B11" s="1"/>
      <c r="C11" s="2"/>
      <c r="D11" s="2"/>
      <c r="E11" s="1"/>
      <c r="F11" s="3"/>
      <c r="G11" s="3"/>
      <c r="H11" s="1"/>
      <c r="I11" s="1"/>
      <c r="J11" s="1"/>
      <c r="K11" s="1"/>
      <c r="L11" s="1"/>
      <c r="M11" s="1"/>
      <c r="N11" s="1"/>
      <c r="O11" s="1"/>
      <c r="P11" s="1"/>
      <c r="Q11" s="3"/>
      <c r="R11" s="3"/>
      <c r="S11" s="3"/>
      <c r="T11" s="3"/>
      <c r="U11" s="9"/>
      <c r="V11" s="4"/>
      <c r="W11" s="4"/>
      <c r="X11" s="4"/>
      <c r="Y11" s="4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</row>
    <row r="12" spans="1:41" ht="31.5" customHeight="1" x14ac:dyDescent="0.3">
      <c r="A12" s="1"/>
      <c r="B12" s="1"/>
      <c r="C12" s="2"/>
      <c r="D12" s="2"/>
      <c r="E12" s="1"/>
      <c r="F12" s="3"/>
      <c r="G12" s="3"/>
      <c r="H12" s="1"/>
      <c r="I12" s="1"/>
      <c r="J12" s="1"/>
      <c r="K12" s="1"/>
      <c r="L12" s="1"/>
      <c r="M12" s="1"/>
      <c r="N12" s="1"/>
      <c r="O12" s="1"/>
      <c r="P12" s="1"/>
      <c r="Q12" s="3"/>
      <c r="R12" s="3"/>
      <c r="S12" s="3"/>
      <c r="T12" s="3"/>
      <c r="U12" s="9"/>
      <c r="V12" s="4"/>
      <c r="W12" s="4"/>
      <c r="X12" s="4"/>
      <c r="Y12" s="4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</row>
    <row r="13" spans="1:41" ht="31.5" customHeight="1" x14ac:dyDescent="0.3">
      <c r="A13" s="1"/>
      <c r="B13" s="1"/>
      <c r="C13" s="2"/>
      <c r="D13" s="2"/>
      <c r="E13" s="1"/>
      <c r="F13" s="3"/>
      <c r="G13" s="3"/>
      <c r="H13" s="1"/>
      <c r="I13" s="1"/>
      <c r="J13" s="1"/>
      <c r="K13" s="1"/>
      <c r="L13" s="1"/>
      <c r="M13" s="1"/>
      <c r="N13" s="1"/>
      <c r="O13" s="1"/>
      <c r="P13" s="1"/>
      <c r="Q13" s="3"/>
      <c r="R13" s="3"/>
      <c r="S13" s="3"/>
      <c r="T13" s="3"/>
      <c r="U13" s="9"/>
      <c r="V13" s="4"/>
      <c r="W13" s="4"/>
      <c r="X13" s="4"/>
      <c r="Y13" s="4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</row>
    <row r="14" spans="1:41" ht="31.5" customHeight="1" x14ac:dyDescent="0.3">
      <c r="A14" s="1"/>
      <c r="B14" s="1"/>
      <c r="C14" s="2"/>
      <c r="D14" s="2"/>
      <c r="E14" s="1"/>
      <c r="F14" s="3"/>
      <c r="G14" s="3"/>
      <c r="H14" s="1"/>
      <c r="I14" s="1"/>
      <c r="J14" s="1"/>
      <c r="K14" s="1"/>
      <c r="L14" s="1"/>
      <c r="M14" s="1"/>
      <c r="N14" s="1"/>
      <c r="O14" s="1"/>
      <c r="P14" s="1"/>
      <c r="Q14" s="3"/>
      <c r="R14" s="3"/>
      <c r="S14" s="3"/>
      <c r="T14" s="3"/>
      <c r="U14" s="9"/>
      <c r="V14" s="4"/>
      <c r="W14" s="4"/>
      <c r="X14" s="4"/>
      <c r="Y14" s="4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</row>
    <row r="15" spans="1:41" ht="31.5" customHeight="1" x14ac:dyDescent="0.3">
      <c r="A15" s="1"/>
      <c r="B15" s="1"/>
      <c r="C15" s="2"/>
      <c r="D15" s="2"/>
      <c r="E15" s="1"/>
      <c r="F15" s="3"/>
      <c r="G15" s="3"/>
      <c r="H15" s="1"/>
      <c r="I15" s="1"/>
      <c r="J15" s="1"/>
      <c r="K15" s="1"/>
      <c r="L15" s="1"/>
      <c r="M15" s="1"/>
      <c r="N15" s="1"/>
      <c r="O15" s="1"/>
      <c r="P15" s="1"/>
      <c r="Q15" s="3"/>
      <c r="R15" s="3"/>
      <c r="S15" s="3"/>
      <c r="T15" s="3"/>
      <c r="U15" s="9"/>
      <c r="V15" s="4"/>
      <c r="W15" s="4"/>
      <c r="X15" s="4"/>
      <c r="Y15" s="4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</row>
    <row r="16" spans="1:41" ht="31.5" customHeight="1" x14ac:dyDescent="0.3">
      <c r="A16" s="1"/>
      <c r="B16" s="1"/>
      <c r="C16" s="2"/>
      <c r="D16" s="2"/>
      <c r="E16" s="1"/>
      <c r="F16" s="3"/>
      <c r="G16" s="3"/>
      <c r="H16" s="1"/>
      <c r="I16" s="1"/>
      <c r="J16" s="1"/>
      <c r="K16" s="1"/>
      <c r="L16" s="1"/>
      <c r="M16" s="1"/>
      <c r="N16" s="1"/>
      <c r="O16" s="1"/>
      <c r="P16" s="1"/>
      <c r="Q16" s="3"/>
      <c r="R16" s="3"/>
      <c r="S16" s="3"/>
      <c r="T16" s="3"/>
      <c r="U16" s="9"/>
      <c r="V16" s="4"/>
      <c r="W16" s="4"/>
      <c r="X16" s="4"/>
      <c r="Y16" s="4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</row>
    <row r="17" spans="1:41" ht="31.5" customHeight="1" x14ac:dyDescent="0.3">
      <c r="A17" s="1"/>
      <c r="B17" s="1"/>
      <c r="C17" s="2"/>
      <c r="D17" s="2"/>
      <c r="E17" s="1"/>
      <c r="F17" s="3"/>
      <c r="G17" s="3"/>
      <c r="H17" s="1"/>
      <c r="I17" s="1"/>
      <c r="J17" s="1"/>
      <c r="K17" s="1"/>
      <c r="L17" s="1"/>
      <c r="M17" s="1"/>
      <c r="N17" s="1"/>
      <c r="O17" s="1"/>
      <c r="P17" s="1"/>
      <c r="Q17" s="3"/>
      <c r="R17" s="3"/>
      <c r="S17" s="3"/>
      <c r="T17" s="3"/>
      <c r="U17" s="9"/>
      <c r="V17" s="4"/>
      <c r="W17" s="4"/>
      <c r="X17" s="4"/>
      <c r="Y17" s="4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</row>
    <row r="18" spans="1:41" ht="31.5" customHeight="1" x14ac:dyDescent="0.3">
      <c r="A18" s="1"/>
      <c r="B18" s="1"/>
      <c r="C18" s="2"/>
      <c r="D18" s="2"/>
      <c r="E18" s="1"/>
      <c r="F18" s="3"/>
      <c r="G18" s="3"/>
      <c r="H18" s="1"/>
      <c r="I18" s="1"/>
      <c r="J18" s="1"/>
      <c r="K18" s="1"/>
      <c r="L18" s="1"/>
      <c r="M18" s="1"/>
      <c r="N18" s="1"/>
      <c r="O18" s="1"/>
      <c r="P18" s="1"/>
      <c r="Q18" s="3"/>
      <c r="R18" s="3"/>
      <c r="S18" s="3"/>
      <c r="T18" s="3"/>
      <c r="U18" s="9"/>
      <c r="V18" s="4"/>
      <c r="W18" s="4"/>
      <c r="X18" s="4"/>
      <c r="Y18" s="4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</row>
    <row r="19" spans="1:41" ht="31.5" customHeight="1" x14ac:dyDescent="0.3">
      <c r="A19" s="1"/>
      <c r="B19" s="1"/>
      <c r="C19" s="2"/>
      <c r="D19" s="2"/>
      <c r="E19" s="1"/>
      <c r="F19" s="3"/>
      <c r="G19" s="3"/>
      <c r="H19" s="1"/>
      <c r="I19" s="1"/>
      <c r="J19" s="1"/>
      <c r="K19" s="1"/>
      <c r="L19" s="1"/>
      <c r="M19" s="1"/>
      <c r="N19" s="1"/>
      <c r="O19" s="1"/>
      <c r="P19" s="1"/>
      <c r="Q19" s="3"/>
      <c r="R19" s="3"/>
      <c r="S19" s="3"/>
      <c r="T19" s="3"/>
      <c r="U19" s="9"/>
      <c r="V19" s="4"/>
      <c r="W19" s="4"/>
      <c r="X19" s="4"/>
      <c r="Y19" s="4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</row>
    <row r="20" spans="1:41" ht="31.5" customHeight="1" x14ac:dyDescent="0.3">
      <c r="A20" s="1"/>
      <c r="B20" s="1"/>
      <c r="C20" s="2"/>
      <c r="D20" s="2"/>
      <c r="E20" s="1"/>
      <c r="F20" s="3"/>
      <c r="G20" s="3"/>
      <c r="H20" s="1"/>
      <c r="I20" s="1"/>
      <c r="J20" s="1"/>
      <c r="K20" s="1"/>
      <c r="L20" s="1"/>
      <c r="M20" s="1"/>
      <c r="N20" s="1"/>
      <c r="O20" s="1"/>
      <c r="P20" s="1"/>
      <c r="Q20" s="3"/>
      <c r="R20" s="3"/>
      <c r="S20" s="3"/>
      <c r="T20" s="3"/>
      <c r="U20" s="9"/>
      <c r="V20" s="4"/>
      <c r="W20" s="4"/>
      <c r="X20" s="4"/>
      <c r="Y20" s="4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</row>
    <row r="21" spans="1:41" ht="31.5" customHeight="1" x14ac:dyDescent="0.3">
      <c r="A21" s="1"/>
      <c r="B21" s="1"/>
      <c r="C21" s="2"/>
      <c r="D21" s="2"/>
      <c r="E21" s="1"/>
      <c r="F21" s="3"/>
      <c r="G21" s="3"/>
      <c r="H21" s="1"/>
      <c r="I21" s="1"/>
      <c r="J21" s="1"/>
      <c r="K21" s="1"/>
      <c r="L21" s="1"/>
      <c r="M21" s="1"/>
      <c r="N21" s="1"/>
      <c r="O21" s="1"/>
      <c r="P21" s="1"/>
      <c r="Q21" s="3"/>
      <c r="R21" s="3"/>
      <c r="S21" s="3"/>
      <c r="T21" s="3"/>
      <c r="U21" s="9"/>
      <c r="V21" s="4"/>
      <c r="W21" s="4"/>
      <c r="X21" s="4"/>
      <c r="Y21" s="4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</row>
    <row r="22" spans="1:41" ht="31.5" customHeight="1" x14ac:dyDescent="0.3">
      <c r="A22" s="1"/>
      <c r="B22" s="1"/>
      <c r="C22" s="2"/>
      <c r="D22" s="2"/>
      <c r="E22" s="1"/>
      <c r="F22" s="3"/>
      <c r="G22" s="3"/>
      <c r="H22" s="1"/>
      <c r="I22" s="1"/>
      <c r="J22" s="1"/>
      <c r="K22" s="1"/>
      <c r="L22" s="1"/>
      <c r="M22" s="1"/>
      <c r="N22" s="1"/>
      <c r="O22" s="1"/>
      <c r="P22" s="1"/>
      <c r="Q22" s="3"/>
      <c r="R22" s="3"/>
      <c r="S22" s="3"/>
      <c r="T22" s="3"/>
      <c r="U22" s="9"/>
      <c r="V22" s="4"/>
      <c r="W22" s="4"/>
      <c r="X22" s="4"/>
      <c r="Y22" s="4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</row>
    <row r="23" spans="1:41" ht="31.5" customHeight="1" x14ac:dyDescent="0.3">
      <c r="A23" s="1"/>
      <c r="B23" s="1"/>
      <c r="C23" s="2"/>
      <c r="D23" s="2"/>
      <c r="E23" s="1"/>
      <c r="F23" s="3"/>
      <c r="G23" s="3"/>
      <c r="H23" s="1"/>
      <c r="I23" s="1"/>
      <c r="J23" s="1"/>
      <c r="K23" s="1"/>
      <c r="L23" s="1"/>
      <c r="M23" s="1"/>
      <c r="N23" s="1"/>
      <c r="O23" s="1"/>
      <c r="P23" s="1"/>
      <c r="Q23" s="3"/>
      <c r="R23" s="3"/>
      <c r="S23" s="3"/>
      <c r="T23" s="3"/>
      <c r="U23" s="9"/>
      <c r="V23" s="4"/>
      <c r="W23" s="4"/>
      <c r="X23" s="4"/>
      <c r="Y23" s="4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</row>
    <row r="24" spans="1:41" ht="31.5" customHeight="1" x14ac:dyDescent="0.3">
      <c r="A24" s="1"/>
      <c r="B24" s="1"/>
      <c r="C24" s="2"/>
      <c r="D24" s="2"/>
      <c r="E24" s="1"/>
      <c r="F24" s="3"/>
      <c r="G24" s="3"/>
      <c r="H24" s="1"/>
      <c r="I24" s="1"/>
      <c r="J24" s="1"/>
      <c r="K24" s="1"/>
      <c r="L24" s="1"/>
      <c r="M24" s="1"/>
      <c r="N24" s="1"/>
      <c r="O24" s="1"/>
      <c r="P24" s="1"/>
      <c r="Q24" s="3"/>
      <c r="R24" s="3"/>
      <c r="S24" s="3"/>
      <c r="T24" s="3"/>
      <c r="U24" s="9"/>
      <c r="V24" s="4"/>
      <c r="W24" s="4"/>
      <c r="X24" s="4"/>
      <c r="Y24" s="4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</row>
    <row r="25" spans="1:41" ht="31.5" customHeight="1" x14ac:dyDescent="0.3">
      <c r="A25" s="1"/>
      <c r="B25" s="1"/>
      <c r="C25" s="2"/>
      <c r="D25" s="2"/>
      <c r="E25" s="1"/>
      <c r="F25" s="3"/>
      <c r="G25" s="3"/>
      <c r="H25" s="1"/>
      <c r="I25" s="1"/>
      <c r="J25" s="1"/>
      <c r="K25" s="1"/>
      <c r="L25" s="1"/>
      <c r="M25" s="1"/>
      <c r="N25" s="1"/>
      <c r="O25" s="1"/>
      <c r="P25" s="1"/>
      <c r="Q25" s="3"/>
      <c r="R25" s="3"/>
      <c r="S25" s="3"/>
      <c r="T25" s="3"/>
      <c r="U25" s="9"/>
      <c r="V25" s="4"/>
      <c r="W25" s="4"/>
      <c r="X25" s="4"/>
      <c r="Y25" s="4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</row>
    <row r="26" spans="1:41" ht="31.5" customHeight="1" x14ac:dyDescent="0.3">
      <c r="A26" s="1"/>
      <c r="B26" s="1"/>
      <c r="C26" s="2"/>
      <c r="D26" s="2"/>
      <c r="E26" s="1"/>
      <c r="F26" s="3"/>
      <c r="G26" s="3"/>
      <c r="H26" s="1"/>
      <c r="I26" s="1"/>
      <c r="J26" s="1"/>
      <c r="K26" s="1"/>
      <c r="L26" s="1"/>
      <c r="M26" s="1"/>
      <c r="N26" s="1"/>
      <c r="O26" s="1"/>
      <c r="P26" s="1"/>
      <c r="Q26" s="3"/>
      <c r="R26" s="3"/>
      <c r="S26" s="3"/>
      <c r="T26" s="3"/>
      <c r="U26" s="9"/>
      <c r="V26" s="4"/>
      <c r="W26" s="4"/>
      <c r="X26" s="4"/>
      <c r="Y26" s="4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</row>
    <row r="27" spans="1:41" ht="31.5" customHeight="1" x14ac:dyDescent="0.3">
      <c r="A27" s="1"/>
      <c r="B27" s="1"/>
      <c r="C27" s="2"/>
      <c r="D27" s="2"/>
      <c r="E27" s="1"/>
      <c r="F27" s="3"/>
      <c r="G27" s="3"/>
      <c r="H27" s="1"/>
      <c r="I27" s="1"/>
      <c r="J27" s="1"/>
      <c r="K27" s="1"/>
      <c r="L27" s="1"/>
      <c r="M27" s="1"/>
      <c r="N27" s="1"/>
      <c r="O27" s="1"/>
      <c r="P27" s="1"/>
      <c r="Q27" s="3"/>
      <c r="R27" s="3"/>
      <c r="S27" s="3"/>
      <c r="T27" s="3"/>
      <c r="U27" s="9"/>
      <c r="V27" s="4"/>
      <c r="W27" s="4"/>
      <c r="X27" s="4"/>
      <c r="Y27" s="4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</row>
    <row r="28" spans="1:41" ht="31.5" customHeight="1" x14ac:dyDescent="0.3">
      <c r="A28" s="1"/>
      <c r="B28" s="1"/>
      <c r="C28" s="2"/>
      <c r="D28" s="2"/>
      <c r="E28" s="1"/>
      <c r="F28" s="3"/>
      <c r="G28" s="3"/>
      <c r="H28" s="1"/>
      <c r="I28" s="1"/>
      <c r="J28" s="1"/>
      <c r="K28" s="1"/>
      <c r="L28" s="1"/>
      <c r="M28" s="1"/>
      <c r="N28" s="1"/>
      <c r="O28" s="1"/>
      <c r="P28" s="1"/>
      <c r="Q28" s="3"/>
      <c r="R28" s="3"/>
      <c r="S28" s="3"/>
      <c r="T28" s="3"/>
      <c r="U28" s="9"/>
      <c r="V28" s="4"/>
      <c r="W28" s="4"/>
      <c r="X28" s="4"/>
      <c r="Y28" s="4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</row>
    <row r="29" spans="1:41" ht="31.5" customHeight="1" x14ac:dyDescent="0.3">
      <c r="A29" s="1"/>
      <c r="B29" s="1"/>
      <c r="C29" s="2"/>
      <c r="D29" s="2"/>
      <c r="E29" s="1"/>
      <c r="F29" s="3"/>
      <c r="G29" s="3"/>
      <c r="H29" s="1"/>
      <c r="I29" s="1"/>
      <c r="J29" s="1"/>
      <c r="K29" s="1"/>
      <c r="L29" s="1"/>
      <c r="M29" s="1"/>
      <c r="N29" s="1"/>
      <c r="O29" s="1"/>
      <c r="P29" s="1"/>
      <c r="Q29" s="3"/>
      <c r="R29" s="3"/>
      <c r="S29" s="3"/>
      <c r="T29" s="3"/>
      <c r="U29" s="9"/>
      <c r="V29" s="4"/>
      <c r="W29" s="4"/>
      <c r="X29" s="4"/>
      <c r="Y29" s="4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</row>
    <row r="30" spans="1:41" ht="31.5" customHeight="1" x14ac:dyDescent="0.3">
      <c r="A30" s="1"/>
      <c r="B30" s="1"/>
      <c r="C30" s="2"/>
      <c r="D30" s="2"/>
      <c r="E30" s="1"/>
      <c r="F30" s="3"/>
      <c r="G30" s="3"/>
      <c r="H30" s="1"/>
      <c r="I30" s="1"/>
      <c r="J30" s="1"/>
      <c r="K30" s="1"/>
      <c r="L30" s="1"/>
      <c r="M30" s="1"/>
      <c r="N30" s="1"/>
      <c r="O30" s="1"/>
      <c r="P30" s="1"/>
      <c r="Q30" s="3"/>
      <c r="R30" s="3"/>
      <c r="S30" s="3"/>
      <c r="T30" s="3"/>
      <c r="U30" s="9"/>
      <c r="V30" s="4"/>
      <c r="W30" s="4"/>
      <c r="X30" s="4"/>
      <c r="Y30" s="4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</row>
    <row r="31" spans="1:41" ht="31.5" customHeight="1" x14ac:dyDescent="0.3">
      <c r="A31" s="1"/>
      <c r="B31" s="1"/>
      <c r="C31" s="2"/>
      <c r="D31" s="2"/>
      <c r="E31" s="1"/>
      <c r="F31" s="3"/>
      <c r="G31" s="3"/>
      <c r="H31" s="1"/>
      <c r="I31" s="1"/>
      <c r="J31" s="1"/>
      <c r="K31" s="1"/>
      <c r="L31" s="1"/>
      <c r="M31" s="1"/>
      <c r="N31" s="1"/>
      <c r="O31" s="1"/>
      <c r="P31" s="1"/>
      <c r="Q31" s="3"/>
      <c r="R31" s="3"/>
      <c r="S31" s="3"/>
      <c r="T31" s="3"/>
      <c r="U31" s="9"/>
      <c r="V31" s="4"/>
      <c r="W31" s="4"/>
      <c r="X31" s="4"/>
      <c r="Y31" s="4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ht="31.5" customHeight="1" x14ac:dyDescent="0.3">
      <c r="A32" s="1"/>
      <c r="B32" s="1"/>
      <c r="C32" s="2"/>
      <c r="D32" s="2"/>
      <c r="E32" s="1"/>
      <c r="F32" s="3"/>
      <c r="G32" s="3"/>
      <c r="H32" s="1"/>
      <c r="I32" s="1"/>
      <c r="J32" s="1"/>
      <c r="K32" s="1"/>
      <c r="L32" s="1"/>
      <c r="M32" s="1"/>
      <c r="N32" s="1"/>
      <c r="O32" s="1"/>
      <c r="P32" s="1"/>
      <c r="Q32" s="3"/>
      <c r="R32" s="3"/>
      <c r="S32" s="3"/>
      <c r="T32" s="3"/>
      <c r="U32" s="9"/>
      <c r="V32" s="4"/>
      <c r="W32" s="4"/>
      <c r="X32" s="4"/>
      <c r="Y32" s="4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</row>
    <row r="33" spans="1:41" ht="31.5" customHeight="1" x14ac:dyDescent="0.3">
      <c r="A33" s="1"/>
      <c r="B33" s="1"/>
      <c r="C33" s="2"/>
      <c r="D33" s="2"/>
      <c r="E33" s="1"/>
      <c r="F33" s="3"/>
      <c r="G33" s="3"/>
      <c r="H33" s="1"/>
      <c r="I33" s="1"/>
      <c r="J33" s="1"/>
      <c r="K33" s="1"/>
      <c r="L33" s="1"/>
      <c r="M33" s="1"/>
      <c r="N33" s="1"/>
      <c r="O33" s="1"/>
      <c r="P33" s="1"/>
      <c r="Q33" s="3"/>
      <c r="R33" s="3"/>
      <c r="S33" s="3"/>
      <c r="T33" s="3"/>
      <c r="U33" s="9"/>
      <c r="V33" s="4"/>
      <c r="W33" s="4"/>
      <c r="X33" s="4"/>
      <c r="Y33" s="4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</row>
    <row r="34" spans="1:41" ht="31.5" customHeight="1" x14ac:dyDescent="0.3">
      <c r="A34" s="1"/>
      <c r="B34" s="1"/>
      <c r="C34" s="2"/>
      <c r="D34" s="2"/>
      <c r="E34" s="1"/>
      <c r="F34" s="3"/>
      <c r="G34" s="3"/>
      <c r="H34" s="1"/>
      <c r="I34" s="1"/>
      <c r="J34" s="1"/>
      <c r="K34" s="1"/>
      <c r="L34" s="1"/>
      <c r="M34" s="1"/>
      <c r="N34" s="1"/>
      <c r="O34" s="1"/>
      <c r="P34" s="1"/>
      <c r="Q34" s="3"/>
      <c r="R34" s="3"/>
      <c r="S34" s="3"/>
      <c r="T34" s="3"/>
      <c r="U34" s="9"/>
      <c r="V34" s="4"/>
      <c r="W34" s="4"/>
      <c r="X34" s="4"/>
      <c r="Y34" s="4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19"/>
    </row>
    <row r="35" spans="1:41" ht="31.5" customHeight="1" x14ac:dyDescent="0.3"/>
    <row r="36" spans="1:41" ht="31.5" customHeight="1" x14ac:dyDescent="0.3"/>
    <row r="37" spans="1:41" ht="31.5" customHeight="1" x14ac:dyDescent="0.3"/>
    <row r="38" spans="1:41" ht="31.5" customHeight="1" x14ac:dyDescent="0.3"/>
    <row r="39" spans="1:41" ht="31.5" customHeight="1" x14ac:dyDescent="0.3"/>
    <row r="40" spans="1:41" ht="31.5" customHeight="1" x14ac:dyDescent="0.3"/>
    <row r="41" spans="1:41" ht="31.5" customHeight="1" x14ac:dyDescent="0.3"/>
    <row r="42" spans="1:41" ht="31.5" customHeight="1" x14ac:dyDescent="0.3"/>
    <row r="43" spans="1:41" ht="31.5" customHeight="1" x14ac:dyDescent="0.3"/>
    <row r="44" spans="1:41" ht="31.5" customHeight="1" x14ac:dyDescent="0.3"/>
    <row r="45" spans="1:41" ht="31.5" customHeight="1" x14ac:dyDescent="0.3"/>
    <row r="46" spans="1:41" ht="31.5" customHeight="1" x14ac:dyDescent="0.3"/>
    <row r="47" spans="1:41" ht="31.5" customHeight="1" x14ac:dyDescent="0.3"/>
    <row r="48" spans="1:41" ht="31.5" customHeight="1" x14ac:dyDescent="0.3"/>
    <row r="49" ht="31.5" customHeight="1" x14ac:dyDescent="0.3"/>
    <row r="50" ht="31.5" customHeight="1" x14ac:dyDescent="0.3"/>
    <row r="51" ht="31.5" customHeight="1" x14ac:dyDescent="0.3"/>
    <row r="52" ht="31.5" customHeight="1" x14ac:dyDescent="0.3"/>
    <row r="53" ht="31.5" customHeight="1" x14ac:dyDescent="0.3"/>
    <row r="54" ht="31.5" customHeight="1" x14ac:dyDescent="0.3"/>
    <row r="55" ht="31.5" customHeight="1" x14ac:dyDescent="0.3"/>
    <row r="56" ht="31.5" customHeight="1" x14ac:dyDescent="0.3"/>
    <row r="57" ht="31.5" customHeight="1" x14ac:dyDescent="0.3"/>
    <row r="58" ht="31.5" customHeight="1" x14ac:dyDescent="0.3"/>
    <row r="59" ht="31.5" customHeight="1" x14ac:dyDescent="0.3"/>
    <row r="60" ht="31.5" customHeight="1" x14ac:dyDescent="0.3"/>
    <row r="61" ht="31.5" customHeight="1" x14ac:dyDescent="0.3"/>
    <row r="62" ht="31.5" customHeight="1" x14ac:dyDescent="0.3"/>
    <row r="63" ht="31.5" customHeight="1" x14ac:dyDescent="0.3"/>
    <row r="64" ht="31.5" customHeight="1" x14ac:dyDescent="0.3"/>
    <row r="65" ht="31.5" customHeight="1" x14ac:dyDescent="0.3"/>
    <row r="66" ht="31.5" customHeight="1" x14ac:dyDescent="0.3"/>
    <row r="67" ht="31.5" customHeight="1" x14ac:dyDescent="0.3"/>
    <row r="68" ht="31.5" customHeight="1" x14ac:dyDescent="0.3"/>
    <row r="69" ht="31.5" customHeight="1" x14ac:dyDescent="0.3"/>
    <row r="70" ht="31.5" customHeight="1" x14ac:dyDescent="0.3"/>
    <row r="71" ht="31.5" customHeight="1" x14ac:dyDescent="0.3"/>
    <row r="72" ht="31.5" customHeight="1" x14ac:dyDescent="0.3"/>
    <row r="73" ht="31.5" customHeight="1" x14ac:dyDescent="0.3"/>
    <row r="74" ht="31.5" customHeight="1" x14ac:dyDescent="0.3"/>
    <row r="75" ht="31.5" customHeight="1" x14ac:dyDescent="0.3"/>
    <row r="76" ht="31.5" customHeight="1" x14ac:dyDescent="0.3"/>
    <row r="77" ht="31.5" customHeight="1" x14ac:dyDescent="0.3"/>
    <row r="78" ht="31.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ExportAssembly_BP">
          <controlPr defaultSize="0" autoFill="0" autoLine="0" r:id="rId5">
            <anchor>
              <from>
                <xdr:col>14</xdr:col>
                <xdr:colOff>861060</xdr:colOff>
                <xdr:row>0</xdr:row>
                <xdr:rowOff>175260</xdr:rowOff>
              </from>
              <to>
                <xdr:col>16</xdr:col>
                <xdr:colOff>304800</xdr:colOff>
                <xdr:row>2</xdr:row>
                <xdr:rowOff>60960</xdr:rowOff>
              </to>
            </anchor>
          </controlPr>
        </control>
      </mc:Choice>
      <mc:Fallback>
        <control shapeId="2054" r:id="rId4" name="ExportAssembly_BP"/>
      </mc:Fallback>
    </mc:AlternateContent>
    <mc:AlternateContent xmlns:mc="http://schemas.openxmlformats.org/markup-compatibility/2006">
      <mc:Choice Requires="x14">
        <control shapeId="2053" r:id="rId6" name="DefaultCuttingMachine_BP">
          <controlPr defaultSize="0" autoFill="0" autoLine="0" r:id="rId7">
            <anchor>
              <from>
                <xdr:col>12</xdr:col>
                <xdr:colOff>297180</xdr:colOff>
                <xdr:row>0</xdr:row>
                <xdr:rowOff>152400</xdr:rowOff>
              </from>
              <to>
                <xdr:col>14</xdr:col>
                <xdr:colOff>411480</xdr:colOff>
                <xdr:row>2</xdr:row>
                <xdr:rowOff>60960</xdr:rowOff>
              </to>
            </anchor>
          </controlPr>
        </control>
      </mc:Choice>
      <mc:Fallback>
        <control shapeId="2053" r:id="rId6" name="DefaultCuttingMachine_BP"/>
      </mc:Fallback>
    </mc:AlternateContent>
    <mc:AlternateContent xmlns:mc="http://schemas.openxmlformats.org/markup-compatibility/2006">
      <mc:Choice Requires="x14">
        <control shapeId="2049" r:id="rId8" name="ExportXML_BeamParts">
          <controlPr defaultSize="0" autoLine="0" r:id="rId9">
            <anchor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419100</xdr:colOff>
                <xdr:row>2</xdr:row>
                <xdr:rowOff>83820</xdr:rowOff>
              </to>
            </anchor>
          </controlPr>
        </control>
      </mc:Choice>
      <mc:Fallback>
        <control shapeId="2049" r:id="rId8" name="ExportXML_BeamParts"/>
      </mc:Fallback>
    </mc:AlternateContent>
    <mc:AlternateContent xmlns:mc="http://schemas.openxmlformats.org/markup-compatibility/2006">
      <mc:Choice Requires="x14">
        <control shapeId="2050" r:id="rId10" name="ExportProduct_BP">
          <controlPr defaultSize="0" autoFill="0" autoLine="0" autoPict="0" r:id="rId11">
            <anchor>
              <from>
                <xdr:col>2</xdr:col>
                <xdr:colOff>792480</xdr:colOff>
                <xdr:row>0</xdr:row>
                <xdr:rowOff>137160</xdr:rowOff>
              </from>
              <to>
                <xdr:col>3</xdr:col>
                <xdr:colOff>784860</xdr:colOff>
                <xdr:row>2</xdr:row>
                <xdr:rowOff>22860</xdr:rowOff>
              </to>
            </anchor>
          </controlPr>
        </control>
      </mc:Choice>
      <mc:Fallback>
        <control shapeId="2050" r:id="rId10" name="ExportProduct_BP"/>
      </mc:Fallback>
    </mc:AlternateContent>
    <mc:AlternateContent xmlns:mc="http://schemas.openxmlformats.org/markup-compatibility/2006">
      <mc:Choice Requires="x14">
        <control shapeId="2051" r:id="rId12" name="ExportManufacturingOrder_BP">
          <controlPr defaultSize="0" autoFill="0" autoLine="0" r:id="rId13">
            <anchor>
              <from>
                <xdr:col>3</xdr:col>
                <xdr:colOff>784860</xdr:colOff>
                <xdr:row>0</xdr:row>
                <xdr:rowOff>137160</xdr:rowOff>
              </from>
              <to>
                <xdr:col>3</xdr:col>
                <xdr:colOff>1775460</xdr:colOff>
                <xdr:row>2</xdr:row>
                <xdr:rowOff>22860</xdr:rowOff>
              </to>
            </anchor>
          </controlPr>
        </control>
      </mc:Choice>
      <mc:Fallback>
        <control shapeId="2051" r:id="rId12" name="ExportManufacturingOrder_BP"/>
      </mc:Fallback>
    </mc:AlternateContent>
    <mc:AlternateContent xmlns:mc="http://schemas.openxmlformats.org/markup-compatibility/2006">
      <mc:Choice Requires="x14">
        <control shapeId="2052" r:id="rId14" name="ExportQuote_BP">
          <controlPr defaultSize="0" autoFill="0" autoLine="0" r:id="rId15">
            <anchor>
              <from>
                <xdr:col>4</xdr:col>
                <xdr:colOff>259080</xdr:colOff>
                <xdr:row>0</xdr:row>
                <xdr:rowOff>152400</xdr:rowOff>
              </from>
              <to>
                <xdr:col>5</xdr:col>
                <xdr:colOff>960120</xdr:colOff>
                <xdr:row>2</xdr:row>
                <xdr:rowOff>38100</xdr:rowOff>
              </to>
            </anchor>
          </controlPr>
        </control>
      </mc:Choice>
      <mc:Fallback>
        <control shapeId="2052" r:id="rId14" name="ExportQuote_BP"/>
      </mc:Fallback>
    </mc:AlternateContent>
    <mc:AlternateContent xmlns:mc="http://schemas.openxmlformats.org/markup-compatibility/2006">
      <mc:Choice Requires="x14">
        <control shapeId="2055" r:id="rId16" name="ExportSaleOrder_BP">
          <controlPr defaultSize="0" autoFill="0" autoLine="0" r:id="rId17">
            <anchor>
              <from>
                <xdr:col>7</xdr:col>
                <xdr:colOff>1760220</xdr:colOff>
                <xdr:row>0</xdr:row>
                <xdr:rowOff>83820</xdr:rowOff>
              </from>
              <to>
                <xdr:col>8</xdr:col>
                <xdr:colOff>807720</xdr:colOff>
                <xdr:row>2</xdr:row>
                <xdr:rowOff>99060</xdr:rowOff>
              </to>
            </anchor>
          </controlPr>
        </control>
      </mc:Choice>
      <mc:Fallback>
        <control shapeId="2055" r:id="rId16" name="ExportSaleOrder_BP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B5AE2-E2D7-443B-B27A-75D1E1AE31AC}">
  <sheetPr codeName="Arkusz6"/>
  <dimension ref="A1:S53"/>
  <sheetViews>
    <sheetView zoomScale="90" zoomScaleNormal="90" workbookViewId="0">
      <selection activeCell="F10" sqref="F10"/>
    </sheetView>
  </sheetViews>
  <sheetFormatPr defaultRowHeight="14.4" x14ac:dyDescent="0.3"/>
  <cols>
    <col min="1" max="1" width="5.5546875" customWidth="1"/>
    <col min="2" max="2" width="11" customWidth="1"/>
    <col min="3" max="3" width="42.33203125" customWidth="1"/>
    <col min="4" max="4" width="26" customWidth="1"/>
    <col min="5" max="5" width="14.5546875" style="5" customWidth="1"/>
    <col min="6" max="6" width="13.6640625" style="5" customWidth="1"/>
    <col min="7" max="7" width="10.5546875" style="5" customWidth="1"/>
    <col min="8" max="8" width="9.6640625" style="5" customWidth="1"/>
    <col min="9" max="9" width="9.6640625" customWidth="1"/>
    <col min="10" max="17" width="13.109375" customWidth="1"/>
    <col min="18" max="18" width="21.88671875" customWidth="1"/>
    <col min="19" max="19" width="21.88671875" style="5" customWidth="1"/>
  </cols>
  <sheetData>
    <row r="1" spans="1:19" x14ac:dyDescent="0.3">
      <c r="E1"/>
      <c r="F1"/>
      <c r="G1"/>
      <c r="H1"/>
      <c r="R1" s="25" t="s">
        <v>86</v>
      </c>
    </row>
    <row r="2" spans="1:19" x14ac:dyDescent="0.3">
      <c r="R2" s="24" t="s">
        <v>93</v>
      </c>
    </row>
    <row r="3" spans="1:19" x14ac:dyDescent="0.3">
      <c r="J3" s="5"/>
      <c r="K3" s="5"/>
      <c r="L3" s="5"/>
      <c r="M3" s="5"/>
      <c r="N3" s="5"/>
      <c r="O3" s="5"/>
      <c r="P3" s="5"/>
      <c r="Q3" s="5"/>
      <c r="R3" s="5"/>
    </row>
    <row r="4" spans="1:19" ht="50.1" customHeight="1" thickBot="1" x14ac:dyDescent="0.35">
      <c r="A4" s="11" t="s">
        <v>0</v>
      </c>
      <c r="B4" s="11" t="s">
        <v>1</v>
      </c>
      <c r="C4" s="11" t="s">
        <v>2</v>
      </c>
      <c r="D4" s="11" t="s">
        <v>3</v>
      </c>
      <c r="E4" s="12" t="s">
        <v>80</v>
      </c>
      <c r="F4" s="12" t="s">
        <v>81</v>
      </c>
      <c r="G4" s="12" t="s">
        <v>79</v>
      </c>
      <c r="H4" s="12" t="s">
        <v>82</v>
      </c>
      <c r="I4" s="11" t="s">
        <v>83</v>
      </c>
      <c r="J4" s="11" t="s">
        <v>8</v>
      </c>
      <c r="K4" s="11" t="s">
        <v>9</v>
      </c>
      <c r="L4" s="11" t="s">
        <v>10</v>
      </c>
      <c r="M4" s="11" t="s">
        <v>11</v>
      </c>
      <c r="N4" s="11" t="s">
        <v>12</v>
      </c>
      <c r="O4" s="11" t="s">
        <v>13</v>
      </c>
      <c r="P4" s="11" t="s">
        <v>14</v>
      </c>
      <c r="Q4" s="11" t="s">
        <v>15</v>
      </c>
      <c r="R4" s="13" t="s">
        <v>84</v>
      </c>
      <c r="S4" s="23" t="s">
        <v>85</v>
      </c>
    </row>
    <row r="5" spans="1:19" ht="31.5" customHeight="1" thickTop="1" x14ac:dyDescent="0.3">
      <c r="A5" s="1">
        <v>1</v>
      </c>
      <c r="B5" s="1"/>
      <c r="C5" s="26" t="s">
        <v>88</v>
      </c>
      <c r="D5" s="2"/>
      <c r="E5" s="3"/>
      <c r="F5" s="3"/>
      <c r="G5" s="3"/>
      <c r="H5" s="3">
        <v>1</v>
      </c>
      <c r="I5" s="1"/>
      <c r="J5" s="1"/>
      <c r="K5" s="1"/>
      <c r="L5" s="1"/>
      <c r="M5" s="1"/>
      <c r="N5" s="1"/>
      <c r="O5" s="1"/>
      <c r="P5" s="1"/>
      <c r="Q5" s="1"/>
      <c r="R5" s="9"/>
      <c r="S5" s="26">
        <v>2</v>
      </c>
    </row>
    <row r="6" spans="1:19" ht="31.5" customHeight="1" x14ac:dyDescent="0.3">
      <c r="A6" s="1">
        <v>2</v>
      </c>
      <c r="B6" s="1"/>
      <c r="C6" s="27" t="s">
        <v>94</v>
      </c>
      <c r="D6" s="2"/>
      <c r="E6" s="3"/>
      <c r="F6" s="3"/>
      <c r="G6" s="3"/>
      <c r="H6" s="3">
        <v>1</v>
      </c>
      <c r="I6" s="1"/>
      <c r="J6" s="1"/>
      <c r="K6" s="1"/>
      <c r="L6" s="1"/>
      <c r="M6" s="1"/>
      <c r="N6" s="1"/>
      <c r="O6" s="1"/>
      <c r="P6" s="1"/>
      <c r="Q6" s="1"/>
      <c r="R6" s="9"/>
      <c r="S6" s="26">
        <v>1</v>
      </c>
    </row>
    <row r="7" spans="1:19" ht="31.5" customHeight="1" x14ac:dyDescent="0.3">
      <c r="A7" s="1"/>
      <c r="B7" s="1"/>
      <c r="C7" s="26"/>
      <c r="D7" s="2"/>
      <c r="E7" s="3"/>
      <c r="F7" s="3"/>
      <c r="G7" s="3"/>
      <c r="H7" s="3"/>
      <c r="I7" s="1"/>
      <c r="J7" s="1"/>
      <c r="K7" s="1"/>
      <c r="L7" s="1"/>
      <c r="M7" s="1"/>
      <c r="N7" s="1"/>
      <c r="O7" s="1"/>
      <c r="P7" s="1"/>
      <c r="Q7" s="1"/>
      <c r="R7" s="9"/>
      <c r="S7" s="27"/>
    </row>
    <row r="8" spans="1:19" ht="31.5" customHeight="1" x14ac:dyDescent="0.3">
      <c r="A8" s="1"/>
      <c r="B8" s="1"/>
      <c r="C8" s="26"/>
      <c r="D8" s="2"/>
      <c r="E8" s="3"/>
      <c r="F8" s="3"/>
      <c r="G8" s="3"/>
      <c r="H8" s="3"/>
      <c r="I8" s="1"/>
      <c r="J8" s="1"/>
      <c r="K8" s="1"/>
      <c r="L8" s="1"/>
      <c r="M8" s="1"/>
      <c r="N8" s="1"/>
      <c r="O8" s="1"/>
      <c r="P8" s="1"/>
      <c r="Q8" s="1"/>
      <c r="R8" s="9"/>
      <c r="S8" s="26"/>
    </row>
    <row r="9" spans="1:19" ht="31.5" customHeight="1" x14ac:dyDescent="0.3">
      <c r="A9" s="1"/>
      <c r="B9" s="1"/>
      <c r="C9" s="26"/>
      <c r="D9" s="2"/>
      <c r="E9" s="3"/>
      <c r="F9" s="3"/>
      <c r="G9" s="3"/>
      <c r="H9" s="3"/>
      <c r="I9" s="1"/>
      <c r="J9" s="1"/>
      <c r="K9" s="1"/>
      <c r="L9" s="1"/>
      <c r="M9" s="1"/>
      <c r="N9" s="1"/>
      <c r="O9" s="1"/>
      <c r="P9" s="1"/>
      <c r="Q9" s="1"/>
      <c r="R9" s="9"/>
      <c r="S9" s="26"/>
    </row>
    <row r="10" spans="1:19" ht="31.5" customHeight="1" x14ac:dyDescent="0.3">
      <c r="A10" s="1"/>
      <c r="B10" s="1"/>
      <c r="C10" s="26"/>
      <c r="D10" s="2"/>
      <c r="E10" s="3"/>
      <c r="F10" s="3"/>
      <c r="G10" s="3"/>
      <c r="H10" s="3"/>
      <c r="I10" s="1"/>
      <c r="J10" s="1"/>
      <c r="K10" s="1"/>
      <c r="L10" s="1"/>
      <c r="M10" s="1"/>
      <c r="N10" s="1"/>
      <c r="O10" s="1"/>
      <c r="P10" s="1"/>
      <c r="Q10" s="1"/>
      <c r="R10" s="9"/>
      <c r="S10" s="26"/>
    </row>
    <row r="11" spans="1:19" ht="31.5" customHeight="1" x14ac:dyDescent="0.3">
      <c r="A11" s="1"/>
      <c r="B11" s="1"/>
      <c r="C11" s="26"/>
      <c r="D11" s="2"/>
      <c r="E11" s="3"/>
      <c r="F11" s="3"/>
      <c r="G11" s="3"/>
      <c r="H11" s="3"/>
      <c r="I11" s="1"/>
      <c r="J11" s="1"/>
      <c r="K11" s="1"/>
      <c r="L11" s="1"/>
      <c r="M11" s="1"/>
      <c r="N11" s="1"/>
      <c r="O11" s="1"/>
      <c r="P11" s="1"/>
      <c r="Q11" s="1"/>
      <c r="R11" s="9"/>
      <c r="S11" s="26"/>
    </row>
    <row r="12" spans="1:19" ht="31.5" customHeight="1" x14ac:dyDescent="0.3">
      <c r="A12" s="1"/>
      <c r="B12" s="1"/>
      <c r="C12" s="26"/>
      <c r="D12" s="2"/>
      <c r="E12" s="3"/>
      <c r="F12" s="3"/>
      <c r="G12" s="3"/>
      <c r="H12" s="3"/>
      <c r="I12" s="1"/>
      <c r="J12" s="1"/>
      <c r="K12" s="1"/>
      <c r="L12" s="1"/>
      <c r="M12" s="1"/>
      <c r="N12" s="1"/>
      <c r="O12" s="1"/>
      <c r="P12" s="1"/>
      <c r="Q12" s="1"/>
      <c r="R12" s="9"/>
      <c r="S12" s="26"/>
    </row>
    <row r="13" spans="1:19" ht="31.5" customHeight="1" x14ac:dyDescent="0.3">
      <c r="A13" s="1"/>
      <c r="B13" s="1"/>
      <c r="C13" s="26"/>
      <c r="D13" s="2"/>
      <c r="E13" s="3"/>
      <c r="F13" s="3"/>
      <c r="G13" s="3"/>
      <c r="H13" s="3"/>
      <c r="I13" s="1"/>
      <c r="J13" s="1"/>
      <c r="K13" s="1"/>
      <c r="L13" s="1"/>
      <c r="M13" s="1"/>
      <c r="N13" s="1"/>
      <c r="O13" s="1"/>
      <c r="P13" s="1"/>
      <c r="Q13" s="1"/>
      <c r="R13" s="9"/>
      <c r="S13" s="26"/>
    </row>
    <row r="14" spans="1:19" ht="31.5" customHeight="1" x14ac:dyDescent="0.3">
      <c r="A14" s="1"/>
      <c r="B14" s="1"/>
      <c r="C14" s="26"/>
      <c r="D14" s="2"/>
      <c r="E14" s="3"/>
      <c r="F14" s="3"/>
      <c r="G14" s="3"/>
      <c r="H14" s="3"/>
      <c r="I14" s="1"/>
      <c r="J14" s="1"/>
      <c r="K14" s="1"/>
      <c r="L14" s="1"/>
      <c r="M14" s="1"/>
      <c r="N14" s="1"/>
      <c r="O14" s="1"/>
      <c r="P14" s="1"/>
      <c r="Q14" s="1"/>
      <c r="R14" s="9"/>
      <c r="S14" s="26"/>
    </row>
    <row r="15" spans="1:19" ht="31.5" customHeight="1" x14ac:dyDescent="0.3">
      <c r="A15" s="1"/>
      <c r="B15" s="1"/>
      <c r="C15" s="26"/>
      <c r="D15" s="2"/>
      <c r="E15" s="3"/>
      <c r="F15" s="3"/>
      <c r="G15" s="3"/>
      <c r="H15" s="3"/>
      <c r="I15" s="1"/>
      <c r="J15" s="1"/>
      <c r="K15" s="1"/>
      <c r="L15" s="1"/>
      <c r="M15" s="1"/>
      <c r="N15" s="1"/>
      <c r="O15" s="1"/>
      <c r="P15" s="1"/>
      <c r="Q15" s="1"/>
      <c r="R15" s="9"/>
      <c r="S15" s="26"/>
    </row>
    <row r="16" spans="1:19" ht="31.5" customHeight="1" x14ac:dyDescent="0.3">
      <c r="A16" s="1"/>
      <c r="B16" s="1"/>
      <c r="C16" s="26"/>
      <c r="D16" s="2"/>
      <c r="E16" s="3"/>
      <c r="F16" s="3"/>
      <c r="G16" s="3"/>
      <c r="H16" s="3"/>
      <c r="I16" s="1"/>
      <c r="J16" s="1"/>
      <c r="K16" s="1"/>
      <c r="L16" s="1"/>
      <c r="M16" s="1"/>
      <c r="N16" s="1"/>
      <c r="O16" s="1"/>
      <c r="P16" s="1"/>
      <c r="Q16" s="1"/>
      <c r="R16" s="9"/>
      <c r="S16" s="26"/>
    </row>
    <row r="17" spans="1:19" ht="31.5" customHeight="1" x14ac:dyDescent="0.3">
      <c r="A17" s="1"/>
      <c r="B17" s="1"/>
      <c r="C17" s="26"/>
      <c r="D17" s="2"/>
      <c r="E17" s="3"/>
      <c r="F17" s="3"/>
      <c r="G17" s="3"/>
      <c r="H17" s="3"/>
      <c r="I17" s="1"/>
      <c r="J17" s="1"/>
      <c r="K17" s="1"/>
      <c r="L17" s="1"/>
      <c r="M17" s="1"/>
      <c r="N17" s="1"/>
      <c r="O17" s="1"/>
      <c r="P17" s="1"/>
      <c r="Q17" s="1"/>
      <c r="R17" s="9"/>
      <c r="S17" s="26"/>
    </row>
    <row r="18" spans="1:19" ht="31.5" customHeight="1" x14ac:dyDescent="0.3">
      <c r="A18" s="1"/>
      <c r="B18" s="1"/>
      <c r="C18" s="26"/>
      <c r="D18" s="2"/>
      <c r="E18" s="3"/>
      <c r="F18" s="3"/>
      <c r="G18" s="3"/>
      <c r="H18" s="3"/>
      <c r="I18" s="1"/>
      <c r="J18" s="1"/>
      <c r="K18" s="1"/>
      <c r="L18" s="1"/>
      <c r="M18" s="1"/>
      <c r="N18" s="1"/>
      <c r="O18" s="1"/>
      <c r="P18" s="1"/>
      <c r="Q18" s="1"/>
      <c r="R18" s="9"/>
      <c r="S18" s="26"/>
    </row>
    <row r="19" spans="1:19" ht="31.5" customHeight="1" x14ac:dyDescent="0.3">
      <c r="A19" s="1"/>
      <c r="B19" s="1"/>
      <c r="C19" s="26"/>
      <c r="D19" s="2"/>
      <c r="E19" s="3"/>
      <c r="F19" s="3"/>
      <c r="G19" s="3"/>
      <c r="H19" s="3"/>
      <c r="I19" s="1"/>
      <c r="J19" s="1"/>
      <c r="K19" s="1"/>
      <c r="L19" s="1"/>
      <c r="M19" s="1"/>
      <c r="N19" s="1"/>
      <c r="O19" s="1"/>
      <c r="P19" s="1"/>
      <c r="Q19" s="1"/>
      <c r="R19" s="9"/>
      <c r="S19" s="26"/>
    </row>
    <row r="20" spans="1:19" ht="31.5" customHeight="1" x14ac:dyDescent="0.3">
      <c r="A20" s="1"/>
      <c r="B20" s="1"/>
      <c r="C20" s="26"/>
      <c r="D20" s="2"/>
      <c r="E20" s="3"/>
      <c r="F20" s="3"/>
      <c r="G20" s="3"/>
      <c r="H20" s="3"/>
      <c r="I20" s="1"/>
      <c r="J20" s="1"/>
      <c r="K20" s="1"/>
      <c r="L20" s="1"/>
      <c r="M20" s="1"/>
      <c r="N20" s="1"/>
      <c r="O20" s="1"/>
      <c r="P20" s="1"/>
      <c r="Q20" s="1"/>
      <c r="R20" s="9"/>
      <c r="S20" s="26"/>
    </row>
    <row r="21" spans="1:19" ht="31.5" customHeight="1" x14ac:dyDescent="0.3">
      <c r="A21" s="1"/>
      <c r="B21" s="1"/>
      <c r="C21" s="26"/>
      <c r="D21" s="2"/>
      <c r="E21" s="3"/>
      <c r="F21" s="3"/>
      <c r="G21" s="3"/>
      <c r="H21" s="3"/>
      <c r="I21" s="1"/>
      <c r="J21" s="1"/>
      <c r="K21" s="1"/>
      <c r="L21" s="1"/>
      <c r="M21" s="1"/>
      <c r="N21" s="1"/>
      <c r="O21" s="1"/>
      <c r="P21" s="1"/>
      <c r="Q21" s="1"/>
      <c r="R21" s="4"/>
      <c r="S21" s="26"/>
    </row>
    <row r="22" spans="1:19" ht="31.5" customHeight="1" x14ac:dyDescent="0.3">
      <c r="A22" s="1"/>
      <c r="B22" s="1"/>
      <c r="C22" s="26"/>
      <c r="D22" s="2"/>
      <c r="E22" s="3"/>
      <c r="F22" s="3"/>
      <c r="G22" s="3"/>
      <c r="H22" s="3"/>
      <c r="I22" s="1"/>
      <c r="J22" s="1"/>
      <c r="K22" s="1"/>
      <c r="L22" s="1"/>
      <c r="M22" s="1"/>
      <c r="N22" s="1"/>
      <c r="O22" s="1"/>
      <c r="P22" s="1"/>
      <c r="Q22" s="1"/>
      <c r="R22" s="4"/>
      <c r="S22" s="26"/>
    </row>
    <row r="23" spans="1:19" ht="31.5" customHeight="1" x14ac:dyDescent="0.3">
      <c r="A23" s="1"/>
      <c r="B23" s="1"/>
      <c r="C23" s="26"/>
      <c r="D23" s="2"/>
      <c r="E23" s="3"/>
      <c r="F23" s="3"/>
      <c r="G23" s="3"/>
      <c r="H23" s="3"/>
      <c r="I23" s="1"/>
      <c r="J23" s="1"/>
      <c r="K23" s="1"/>
      <c r="L23" s="1"/>
      <c r="M23" s="1"/>
      <c r="N23" s="1"/>
      <c r="O23" s="1"/>
      <c r="P23" s="1"/>
      <c r="Q23" s="1"/>
      <c r="R23" s="4"/>
      <c r="S23" s="26"/>
    </row>
    <row r="24" spans="1:19" ht="31.5" customHeight="1" x14ac:dyDescent="0.3">
      <c r="A24" s="1"/>
      <c r="B24" s="1"/>
      <c r="C24" s="26"/>
      <c r="D24" s="2"/>
      <c r="E24" s="3"/>
      <c r="F24" s="3"/>
      <c r="G24" s="3"/>
      <c r="H24" s="3"/>
      <c r="I24" s="1"/>
      <c r="J24" s="1"/>
      <c r="K24" s="1"/>
      <c r="L24" s="1"/>
      <c r="M24" s="1"/>
      <c r="N24" s="1"/>
      <c r="O24" s="1"/>
      <c r="P24" s="1"/>
      <c r="Q24" s="1"/>
      <c r="R24" s="4"/>
      <c r="S24" s="26"/>
    </row>
    <row r="25" spans="1:19" ht="31.5" customHeight="1" x14ac:dyDescent="0.3">
      <c r="A25" s="1"/>
      <c r="B25" s="1"/>
      <c r="C25" s="26"/>
      <c r="D25" s="2"/>
      <c r="E25" s="3"/>
      <c r="F25" s="3"/>
      <c r="G25" s="3"/>
      <c r="H25" s="3"/>
      <c r="I25" s="1"/>
      <c r="J25" s="1"/>
      <c r="K25" s="1"/>
      <c r="L25" s="1"/>
      <c r="M25" s="1"/>
      <c r="N25" s="1"/>
      <c r="O25" s="1"/>
      <c r="P25" s="1"/>
      <c r="Q25" s="1"/>
      <c r="R25" s="4"/>
      <c r="S25" s="26"/>
    </row>
    <row r="26" spans="1:19" ht="31.5" customHeight="1" x14ac:dyDescent="0.3">
      <c r="A26" s="1"/>
      <c r="B26" s="1"/>
      <c r="C26" s="26"/>
      <c r="D26" s="2"/>
      <c r="E26" s="3"/>
      <c r="F26" s="3"/>
      <c r="G26" s="3"/>
      <c r="H26" s="3"/>
      <c r="I26" s="1"/>
      <c r="J26" s="1"/>
      <c r="K26" s="1"/>
      <c r="L26" s="1"/>
      <c r="M26" s="1"/>
      <c r="N26" s="1"/>
      <c r="O26" s="1"/>
      <c r="P26" s="1"/>
      <c r="Q26" s="1"/>
      <c r="R26" s="4"/>
      <c r="S26" s="26"/>
    </row>
    <row r="27" spans="1:19" ht="31.5" customHeight="1" x14ac:dyDescent="0.3">
      <c r="A27" s="1"/>
      <c r="B27" s="1"/>
      <c r="C27" s="26"/>
      <c r="D27" s="2"/>
      <c r="E27" s="3"/>
      <c r="F27" s="3"/>
      <c r="G27" s="3"/>
      <c r="H27" s="3"/>
      <c r="I27" s="1"/>
      <c r="J27" s="1"/>
      <c r="K27" s="1"/>
      <c r="L27" s="1"/>
      <c r="M27" s="1"/>
      <c r="N27" s="1"/>
      <c r="O27" s="1"/>
      <c r="P27" s="1"/>
      <c r="Q27" s="1"/>
      <c r="R27" s="4"/>
      <c r="S27" s="26"/>
    </row>
    <row r="28" spans="1:19" ht="31.5" customHeight="1" x14ac:dyDescent="0.3">
      <c r="A28" s="1"/>
      <c r="B28" s="1"/>
      <c r="C28" s="26"/>
      <c r="D28" s="2"/>
      <c r="E28" s="3"/>
      <c r="F28" s="3"/>
      <c r="G28" s="3"/>
      <c r="H28" s="3"/>
      <c r="I28" s="1"/>
      <c r="J28" s="1"/>
      <c r="K28" s="1"/>
      <c r="L28" s="1"/>
      <c r="M28" s="1"/>
      <c r="N28" s="1"/>
      <c r="O28" s="1"/>
      <c r="P28" s="1"/>
      <c r="Q28" s="1"/>
      <c r="R28" s="4"/>
      <c r="S28" s="26"/>
    </row>
    <row r="29" spans="1:19" ht="31.5" customHeight="1" x14ac:dyDescent="0.3">
      <c r="A29" s="1"/>
      <c r="B29" s="1"/>
      <c r="C29" s="26"/>
      <c r="D29" s="2"/>
      <c r="E29" s="3"/>
      <c r="F29" s="3"/>
      <c r="G29" s="3"/>
      <c r="H29" s="3"/>
      <c r="I29" s="1"/>
      <c r="J29" s="1"/>
      <c r="K29" s="1"/>
      <c r="L29" s="1"/>
      <c r="M29" s="1"/>
      <c r="N29" s="1"/>
      <c r="O29" s="1"/>
      <c r="P29" s="1"/>
      <c r="Q29" s="1"/>
      <c r="R29" s="4"/>
      <c r="S29" s="26"/>
    </row>
    <row r="30" spans="1:19" ht="31.5" customHeight="1" x14ac:dyDescent="0.3">
      <c r="A30" s="1"/>
      <c r="B30" s="1"/>
      <c r="C30" s="26"/>
      <c r="D30" s="2"/>
      <c r="E30" s="3"/>
      <c r="F30" s="3"/>
      <c r="G30" s="3"/>
      <c r="H30" s="3"/>
      <c r="I30" s="1"/>
      <c r="J30" s="1"/>
      <c r="K30" s="1"/>
      <c r="L30" s="1"/>
      <c r="M30" s="1"/>
      <c r="N30" s="1"/>
      <c r="O30" s="1"/>
      <c r="P30" s="1"/>
      <c r="Q30" s="1"/>
      <c r="R30" s="4"/>
      <c r="S30" s="26"/>
    </row>
    <row r="31" spans="1:19" ht="31.5" customHeight="1" x14ac:dyDescent="0.3">
      <c r="A31" s="1"/>
      <c r="B31" s="1"/>
      <c r="C31" s="26"/>
      <c r="D31" s="2"/>
      <c r="E31" s="3"/>
      <c r="F31" s="3"/>
      <c r="G31" s="3"/>
      <c r="H31" s="3"/>
      <c r="I31" s="1"/>
      <c r="J31" s="1"/>
      <c r="K31" s="1"/>
      <c r="L31" s="1"/>
      <c r="M31" s="1"/>
      <c r="N31" s="1"/>
      <c r="O31" s="1"/>
      <c r="P31" s="1"/>
      <c r="Q31" s="1"/>
      <c r="R31" s="4"/>
      <c r="S31" s="26"/>
    </row>
    <row r="32" spans="1:19" ht="31.5" customHeight="1" x14ac:dyDescent="0.3">
      <c r="A32" s="1"/>
      <c r="B32" s="1"/>
      <c r="C32" s="26"/>
      <c r="D32" s="2"/>
      <c r="E32" s="3"/>
      <c r="F32" s="3"/>
      <c r="G32" s="3"/>
      <c r="H32" s="3"/>
      <c r="I32" s="1"/>
      <c r="J32" s="1"/>
      <c r="K32" s="1"/>
      <c r="L32" s="1"/>
      <c r="M32" s="1"/>
      <c r="N32" s="1"/>
      <c r="O32" s="1"/>
      <c r="P32" s="1"/>
      <c r="Q32" s="1"/>
      <c r="R32" s="4"/>
      <c r="S32" s="26"/>
    </row>
    <row r="33" spans="1:19" ht="31.5" customHeight="1" x14ac:dyDescent="0.3">
      <c r="A33" s="1"/>
      <c r="B33" s="1"/>
      <c r="C33" s="26"/>
      <c r="D33" s="2"/>
      <c r="E33" s="3"/>
      <c r="F33" s="3"/>
      <c r="G33" s="3"/>
      <c r="H33" s="3"/>
      <c r="I33" s="1"/>
      <c r="J33" s="1"/>
      <c r="K33" s="1"/>
      <c r="L33" s="1"/>
      <c r="M33" s="1"/>
      <c r="N33" s="1"/>
      <c r="O33" s="1"/>
      <c r="P33" s="1"/>
      <c r="Q33" s="1"/>
      <c r="R33" s="4"/>
      <c r="S33" s="26"/>
    </row>
    <row r="34" spans="1:19" ht="31.5" customHeight="1" x14ac:dyDescent="0.3">
      <c r="A34" s="1"/>
      <c r="B34" s="1"/>
      <c r="C34" s="26"/>
      <c r="D34" s="2"/>
      <c r="E34" s="3"/>
      <c r="F34" s="3"/>
      <c r="G34" s="3"/>
      <c r="H34" s="3"/>
      <c r="I34" s="1"/>
      <c r="J34" s="1"/>
      <c r="K34" s="1"/>
      <c r="L34" s="1"/>
      <c r="M34" s="1"/>
      <c r="N34" s="1"/>
      <c r="O34" s="1"/>
      <c r="P34" s="1"/>
      <c r="Q34" s="1"/>
      <c r="R34" s="4"/>
      <c r="S34" s="26"/>
    </row>
    <row r="35" spans="1:19" ht="31.5" customHeight="1" x14ac:dyDescent="0.3">
      <c r="A35" s="1"/>
      <c r="B35" s="1"/>
      <c r="C35" s="26"/>
      <c r="D35" s="2"/>
      <c r="E35" s="3"/>
      <c r="F35" s="3"/>
      <c r="G35" s="3"/>
      <c r="H35" s="3"/>
      <c r="I35" s="1"/>
      <c r="J35" s="1"/>
      <c r="K35" s="1"/>
      <c r="L35" s="1"/>
      <c r="M35" s="1"/>
      <c r="N35" s="1"/>
      <c r="O35" s="1"/>
      <c r="P35" s="1"/>
      <c r="Q35" s="1"/>
      <c r="R35" s="4"/>
      <c r="S35" s="26"/>
    </row>
    <row r="36" spans="1:19" ht="31.5" customHeight="1" x14ac:dyDescent="0.3">
      <c r="A36" s="1"/>
      <c r="B36" s="1"/>
      <c r="C36" s="26"/>
      <c r="D36" s="2"/>
      <c r="E36" s="3"/>
      <c r="F36" s="3"/>
      <c r="G36" s="3"/>
      <c r="H36" s="3"/>
      <c r="I36" s="1"/>
      <c r="J36" s="1"/>
      <c r="K36" s="1"/>
      <c r="L36" s="1"/>
      <c r="M36" s="1"/>
      <c r="N36" s="1"/>
      <c r="O36" s="1"/>
      <c r="P36" s="1"/>
      <c r="Q36" s="1"/>
      <c r="R36" s="4"/>
      <c r="S36" s="26"/>
    </row>
    <row r="37" spans="1:19" ht="31.5" customHeight="1" x14ac:dyDescent="0.3">
      <c r="A37" s="1"/>
      <c r="B37" s="1"/>
      <c r="C37" s="26"/>
      <c r="D37" s="2"/>
      <c r="E37" s="3"/>
      <c r="F37" s="3"/>
      <c r="G37" s="3"/>
      <c r="H37" s="3"/>
      <c r="I37" s="1"/>
      <c r="J37" s="1"/>
      <c r="K37" s="1"/>
      <c r="L37" s="1"/>
      <c r="M37" s="1"/>
      <c r="N37" s="1"/>
      <c r="O37" s="1"/>
      <c r="P37" s="1"/>
      <c r="Q37" s="1"/>
      <c r="R37" s="4"/>
      <c r="S37" s="26"/>
    </row>
    <row r="38" spans="1:19" ht="31.5" customHeight="1" x14ac:dyDescent="0.3">
      <c r="A38" s="1"/>
      <c r="B38" s="1"/>
      <c r="C38" s="26"/>
      <c r="D38" s="2"/>
      <c r="E38" s="3"/>
      <c r="F38" s="3"/>
      <c r="G38" s="3"/>
      <c r="H38" s="3"/>
      <c r="I38" s="1"/>
      <c r="J38" s="1"/>
      <c r="K38" s="1"/>
      <c r="L38" s="1"/>
      <c r="M38" s="1"/>
      <c r="N38" s="1"/>
      <c r="O38" s="1"/>
      <c r="P38" s="1"/>
      <c r="Q38" s="1"/>
      <c r="R38" s="4"/>
      <c r="S38" s="26"/>
    </row>
    <row r="39" spans="1:19" ht="31.5" customHeight="1" x14ac:dyDescent="0.3">
      <c r="A39" s="1"/>
      <c r="B39" s="1"/>
      <c r="C39" s="26"/>
      <c r="D39" s="2"/>
      <c r="E39" s="3"/>
      <c r="F39" s="3"/>
      <c r="G39" s="3"/>
      <c r="H39" s="3"/>
      <c r="I39" s="1"/>
      <c r="J39" s="1"/>
      <c r="K39" s="1"/>
      <c r="L39" s="1"/>
      <c r="M39" s="1"/>
      <c r="N39" s="1"/>
      <c r="O39" s="1"/>
      <c r="P39" s="1"/>
      <c r="Q39" s="1"/>
      <c r="R39" s="4"/>
      <c r="S39" s="26"/>
    </row>
    <row r="40" spans="1:19" ht="31.5" customHeight="1" x14ac:dyDescent="0.3">
      <c r="A40" s="1"/>
      <c r="B40" s="1"/>
      <c r="C40" s="26"/>
      <c r="D40" s="2"/>
      <c r="E40" s="3"/>
      <c r="F40" s="3"/>
      <c r="G40" s="3"/>
      <c r="H40" s="3"/>
      <c r="I40" s="1"/>
      <c r="J40" s="1"/>
      <c r="K40" s="1"/>
      <c r="L40" s="1"/>
      <c r="M40" s="1"/>
      <c r="N40" s="1"/>
      <c r="O40" s="1"/>
      <c r="P40" s="1"/>
      <c r="Q40" s="1"/>
      <c r="R40" s="4"/>
      <c r="S40" s="26"/>
    </row>
    <row r="41" spans="1:19" ht="31.5" customHeight="1" x14ac:dyDescent="0.3">
      <c r="A41" s="1"/>
      <c r="B41" s="1"/>
      <c r="C41" s="26"/>
      <c r="D41" s="2"/>
      <c r="E41" s="3"/>
      <c r="F41" s="3"/>
      <c r="G41" s="3"/>
      <c r="H41" s="3"/>
      <c r="I41" s="1"/>
      <c r="J41" s="1"/>
      <c r="K41" s="1"/>
      <c r="L41" s="1"/>
      <c r="M41" s="1"/>
      <c r="N41" s="1"/>
      <c r="O41" s="1"/>
      <c r="P41" s="1"/>
      <c r="Q41" s="1"/>
      <c r="R41" s="4"/>
      <c r="S41" s="26"/>
    </row>
    <row r="42" spans="1:19" ht="31.5" customHeight="1" x14ac:dyDescent="0.3">
      <c r="A42" s="1"/>
      <c r="B42" s="1"/>
      <c r="C42" s="26"/>
      <c r="D42" s="2"/>
      <c r="E42" s="3"/>
      <c r="F42" s="3"/>
      <c r="G42" s="3"/>
      <c r="H42" s="3"/>
      <c r="I42" s="1"/>
      <c r="J42" s="1"/>
      <c r="K42" s="1"/>
      <c r="L42" s="1"/>
      <c r="M42" s="1"/>
      <c r="N42" s="1"/>
      <c r="O42" s="1"/>
      <c r="P42" s="1"/>
      <c r="Q42" s="1"/>
      <c r="R42" s="4"/>
      <c r="S42" s="26"/>
    </row>
    <row r="43" spans="1:19" ht="31.5" customHeight="1" x14ac:dyDescent="0.3">
      <c r="A43" s="1"/>
      <c r="B43" s="1"/>
      <c r="C43" s="26"/>
      <c r="D43" s="2"/>
      <c r="E43" s="3"/>
      <c r="F43" s="3"/>
      <c r="G43" s="3"/>
      <c r="H43" s="3"/>
      <c r="I43" s="1"/>
      <c r="J43" s="1"/>
      <c r="K43" s="1"/>
      <c r="L43" s="1"/>
      <c r="M43" s="1"/>
      <c r="N43" s="1"/>
      <c r="O43" s="1"/>
      <c r="P43" s="1"/>
      <c r="Q43" s="1"/>
      <c r="R43" s="4"/>
      <c r="S43" s="26"/>
    </row>
    <row r="44" spans="1:19" ht="31.5" customHeight="1" x14ac:dyDescent="0.3">
      <c r="A44" s="1"/>
      <c r="B44" s="1"/>
      <c r="C44" s="26"/>
      <c r="D44" s="2"/>
      <c r="E44" s="3"/>
      <c r="F44" s="3"/>
      <c r="G44" s="3"/>
      <c r="H44" s="3"/>
      <c r="I44" s="1"/>
      <c r="J44" s="1"/>
      <c r="K44" s="1"/>
      <c r="L44" s="1"/>
      <c r="M44" s="1"/>
      <c r="N44" s="1"/>
      <c r="O44" s="1"/>
      <c r="P44" s="1"/>
      <c r="Q44" s="1"/>
      <c r="R44" s="4"/>
      <c r="S44" s="26"/>
    </row>
    <row r="45" spans="1:19" ht="31.5" customHeight="1" x14ac:dyDescent="0.3">
      <c r="A45" s="1"/>
      <c r="B45" s="1"/>
      <c r="C45" s="28"/>
      <c r="D45" s="2"/>
      <c r="E45" s="3"/>
      <c r="F45" s="3"/>
      <c r="G45" s="3"/>
      <c r="H45" s="3"/>
      <c r="I45" s="1"/>
      <c r="J45" s="1"/>
      <c r="K45" s="1"/>
      <c r="L45" s="1"/>
      <c r="M45" s="1"/>
      <c r="N45" s="1"/>
      <c r="O45" s="1"/>
      <c r="P45" s="1"/>
      <c r="Q45" s="1"/>
      <c r="R45" s="4"/>
      <c r="S45" s="26"/>
    </row>
    <row r="46" spans="1:19" ht="31.5" customHeight="1" x14ac:dyDescent="0.3">
      <c r="S46" s="26"/>
    </row>
    <row r="47" spans="1:19" ht="31.5" customHeight="1" x14ac:dyDescent="0.3"/>
    <row r="48" spans="1:19" ht="31.5" customHeight="1" x14ac:dyDescent="0.3"/>
    <row r="49" ht="31.5" customHeight="1" x14ac:dyDescent="0.3"/>
    <row r="50" ht="31.5" customHeight="1" x14ac:dyDescent="0.3"/>
    <row r="51" ht="31.5" customHeight="1" x14ac:dyDescent="0.3"/>
    <row r="52" ht="31.5" customHeight="1" x14ac:dyDescent="0.3"/>
    <row r="53" ht="31.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ExportXML_CommonItems">
          <controlPr defaultSize="0" autoLine="0" r:id="rId5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419100</xdr:colOff>
                <xdr:row>2</xdr:row>
                <xdr:rowOff>83820</xdr:rowOff>
              </to>
            </anchor>
          </controlPr>
        </control>
      </mc:Choice>
      <mc:Fallback>
        <control shapeId="7169" r:id="rId4" name="ExportXML_CommonItems"/>
      </mc:Fallback>
    </mc:AlternateContent>
    <mc:AlternateContent xmlns:mc="http://schemas.openxmlformats.org/markup-compatibility/2006">
      <mc:Choice Requires="x14">
        <control shapeId="7175" r:id="rId6" name="ExportAssembly">
          <controlPr defaultSize="0" autoFill="0" autoLine="0" r:id="rId7">
            <anchor>
              <from>
                <xdr:col>4</xdr:col>
                <xdr:colOff>952500</xdr:colOff>
                <xdr:row>0</xdr:row>
                <xdr:rowOff>68580</xdr:rowOff>
              </from>
              <to>
                <xdr:col>6</xdr:col>
                <xdr:colOff>381000</xdr:colOff>
                <xdr:row>2</xdr:row>
                <xdr:rowOff>99060</xdr:rowOff>
              </to>
            </anchor>
          </controlPr>
        </control>
      </mc:Choice>
      <mc:Fallback>
        <control shapeId="7175" r:id="rId6" name="ExportAssembly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22E95-3108-45C1-93BB-BACFEE74B005}">
  <sheetPr codeName="Arkusz4"/>
  <dimension ref="A1:AA17"/>
  <sheetViews>
    <sheetView topLeftCell="A4" zoomScale="90" zoomScaleNormal="90" workbookViewId="0">
      <selection activeCell="AB17" sqref="AB17"/>
    </sheetView>
  </sheetViews>
  <sheetFormatPr defaultRowHeight="14.4" x14ac:dyDescent="0.3"/>
  <cols>
    <col min="1" max="1" width="5.5546875" customWidth="1"/>
    <col min="2" max="2" width="15.33203125" customWidth="1"/>
    <col min="3" max="3" width="28.44140625" customWidth="1"/>
    <col min="4" max="4" width="26" customWidth="1"/>
    <col min="5" max="5" width="10.44140625" customWidth="1"/>
    <col min="6" max="6" width="17.6640625" style="5" customWidth="1"/>
    <col min="7" max="7" width="28.33203125" style="5" customWidth="1"/>
    <col min="8" max="8" width="18.6640625" style="5" customWidth="1"/>
    <col min="9" max="9" width="14.5546875" style="5" customWidth="1"/>
    <col min="10" max="10" width="13.6640625" style="5" customWidth="1"/>
    <col min="11" max="13" width="13.109375" customWidth="1"/>
    <col min="14" max="14" width="23" customWidth="1"/>
    <col min="15" max="15" width="19.6640625" customWidth="1"/>
    <col min="16" max="16" width="17" customWidth="1"/>
    <col min="17" max="17" width="15.88671875" customWidth="1"/>
    <col min="18" max="18" width="14" customWidth="1"/>
    <col min="19" max="19" width="18.6640625" customWidth="1"/>
    <col min="20" max="20" width="17.5546875" bestFit="1" customWidth="1"/>
    <col min="21" max="21" width="24" customWidth="1"/>
    <col min="22" max="22" width="17.5546875" bestFit="1" customWidth="1"/>
    <col min="23" max="23" width="13.6640625" customWidth="1"/>
    <col min="24" max="24" width="11" customWidth="1"/>
    <col min="25" max="25" width="16" customWidth="1"/>
    <col min="26" max="26" width="17.44140625" customWidth="1"/>
    <col min="27" max="27" width="10.88671875" customWidth="1"/>
  </cols>
  <sheetData>
    <row r="1" spans="1:27" x14ac:dyDescent="0.3">
      <c r="F1"/>
      <c r="G1"/>
      <c r="H1"/>
      <c r="I1"/>
      <c r="J1"/>
    </row>
    <row r="2" spans="1:27" x14ac:dyDescent="0.3">
      <c r="J2"/>
    </row>
    <row r="3" spans="1:27" x14ac:dyDescent="0.3"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ht="50.1" customHeight="1" thickBot="1" x14ac:dyDescent="0.35">
      <c r="A4" s="11" t="s">
        <v>0</v>
      </c>
      <c r="B4" s="11" t="s">
        <v>50</v>
      </c>
      <c r="C4" s="11" t="s">
        <v>47</v>
      </c>
      <c r="D4" s="11" t="s">
        <v>48</v>
      </c>
      <c r="E4" s="11" t="s">
        <v>4</v>
      </c>
      <c r="F4" s="12" t="s">
        <v>5</v>
      </c>
      <c r="G4" s="12" t="s">
        <v>27</v>
      </c>
      <c r="H4" s="12" t="s">
        <v>28</v>
      </c>
      <c r="I4" s="12" t="s">
        <v>21</v>
      </c>
      <c r="J4" s="12" t="s">
        <v>29</v>
      </c>
      <c r="K4" s="11" t="s">
        <v>8</v>
      </c>
      <c r="L4" s="11" t="s">
        <v>9</v>
      </c>
      <c r="M4" s="11" t="s">
        <v>10</v>
      </c>
      <c r="N4" s="11" t="s">
        <v>49</v>
      </c>
      <c r="O4" s="11" t="s">
        <v>51</v>
      </c>
      <c r="P4" s="11" t="s">
        <v>52</v>
      </c>
      <c r="Q4" s="11" t="s">
        <v>53</v>
      </c>
      <c r="R4" s="11" t="s">
        <v>19</v>
      </c>
      <c r="S4" s="13" t="s">
        <v>54</v>
      </c>
      <c r="T4" s="13" t="s">
        <v>55</v>
      </c>
      <c r="U4" s="13" t="s">
        <v>56</v>
      </c>
      <c r="V4" s="13" t="s">
        <v>57</v>
      </c>
      <c r="W4" s="13" t="s">
        <v>58</v>
      </c>
      <c r="X4" s="13" t="s">
        <v>59</v>
      </c>
      <c r="Y4" s="13" t="s">
        <v>60</v>
      </c>
      <c r="Z4" s="13" t="s">
        <v>61</v>
      </c>
      <c r="AA4" s="13" t="s">
        <v>6</v>
      </c>
    </row>
    <row r="5" spans="1:27" ht="30" customHeight="1" thickTop="1" x14ac:dyDescent="0.3">
      <c r="A5" s="1">
        <v>1</v>
      </c>
      <c r="B5" s="1"/>
      <c r="C5" s="2" t="str">
        <f>CONCATENATE(E5,"_#",F5,"x",J5,"x",I5)</f>
        <v>S235J0_#3x1500x3000</v>
      </c>
      <c r="D5" s="2"/>
      <c r="E5" s="10" t="s">
        <v>71</v>
      </c>
      <c r="F5" s="3">
        <v>3</v>
      </c>
      <c r="G5" s="3"/>
      <c r="H5" s="3"/>
      <c r="I5" s="3">
        <v>3000</v>
      </c>
      <c r="J5" s="3">
        <v>1500</v>
      </c>
      <c r="K5" s="1"/>
      <c r="L5" s="1"/>
      <c r="M5" s="1"/>
      <c r="N5" s="1">
        <v>3.4</v>
      </c>
      <c r="O5" s="1">
        <v>100</v>
      </c>
      <c r="P5" s="1">
        <v>0</v>
      </c>
      <c r="Q5" s="1"/>
      <c r="R5" s="1"/>
      <c r="S5" s="8"/>
      <c r="T5" s="8"/>
      <c r="U5" s="8"/>
      <c r="V5" s="8"/>
      <c r="W5" s="4"/>
      <c r="X5" s="4"/>
      <c r="Y5" s="4"/>
      <c r="Z5" s="4"/>
      <c r="AA5" s="4">
        <v>1</v>
      </c>
    </row>
    <row r="6" spans="1:27" ht="30" customHeight="1" x14ac:dyDescent="0.3">
      <c r="A6" s="1"/>
      <c r="B6" s="1"/>
      <c r="C6" s="2"/>
      <c r="D6" s="2"/>
      <c r="E6" s="10"/>
      <c r="F6" s="3"/>
      <c r="G6" s="3"/>
      <c r="H6" s="3"/>
      <c r="I6" s="3"/>
      <c r="J6" s="3"/>
      <c r="K6" s="1"/>
      <c r="L6" s="1"/>
      <c r="M6" s="1"/>
      <c r="N6" s="1"/>
      <c r="O6" s="1"/>
      <c r="P6" s="1"/>
      <c r="Q6" s="1"/>
      <c r="R6" s="1"/>
      <c r="S6" s="8"/>
      <c r="T6" s="8"/>
      <c r="U6" s="8"/>
      <c r="V6" s="8"/>
      <c r="W6" s="4"/>
      <c r="X6" s="4"/>
      <c r="Y6" s="4"/>
      <c r="Z6" s="4"/>
      <c r="AA6" s="4"/>
    </row>
    <row r="7" spans="1:27" ht="30" customHeight="1" x14ac:dyDescent="0.3">
      <c r="A7" s="1"/>
      <c r="B7" s="1"/>
      <c r="C7" s="2"/>
      <c r="D7" s="2"/>
      <c r="E7" s="10"/>
      <c r="F7" s="3"/>
      <c r="G7" s="3"/>
      <c r="H7" s="3"/>
      <c r="I7" s="3"/>
      <c r="J7" s="3"/>
      <c r="K7" s="1"/>
      <c r="L7" s="1"/>
      <c r="M7" s="1"/>
      <c r="N7" s="1"/>
      <c r="O7" s="1"/>
      <c r="P7" s="1"/>
      <c r="Q7" s="1"/>
      <c r="R7" s="1"/>
      <c r="S7" s="8"/>
      <c r="T7" s="8"/>
      <c r="U7" s="8"/>
      <c r="V7" s="8"/>
      <c r="W7" s="4"/>
      <c r="X7" s="4"/>
      <c r="Y7" s="4"/>
      <c r="Z7" s="4"/>
      <c r="AA7" s="4"/>
    </row>
    <row r="8" spans="1:27" ht="30" customHeight="1" x14ac:dyDescent="0.3">
      <c r="A8" s="1"/>
      <c r="B8" s="1"/>
      <c r="C8" s="2"/>
      <c r="D8" s="2"/>
      <c r="E8" s="10"/>
      <c r="F8" s="3"/>
      <c r="G8" s="3"/>
      <c r="H8" s="3"/>
      <c r="I8" s="3"/>
      <c r="J8" s="3"/>
      <c r="K8" s="1"/>
      <c r="L8" s="1"/>
      <c r="M8" s="1"/>
      <c r="N8" s="1"/>
      <c r="O8" s="1"/>
      <c r="P8" s="1"/>
      <c r="Q8" s="1"/>
      <c r="R8" s="1"/>
      <c r="S8" s="8"/>
      <c r="T8" s="8"/>
      <c r="U8" s="8"/>
      <c r="V8" s="8"/>
      <c r="W8" s="4"/>
      <c r="X8" s="4"/>
      <c r="Y8" s="4"/>
      <c r="Z8" s="4"/>
      <c r="AA8" s="4"/>
    </row>
    <row r="9" spans="1:27" ht="30" customHeight="1" x14ac:dyDescent="0.3">
      <c r="A9" s="1"/>
      <c r="B9" s="1"/>
      <c r="C9" s="2"/>
      <c r="D9" s="2"/>
      <c r="E9" s="1"/>
      <c r="F9" s="3"/>
      <c r="G9" s="3"/>
      <c r="H9" s="3"/>
      <c r="I9" s="3"/>
      <c r="J9" s="3"/>
      <c r="K9" s="1"/>
      <c r="L9" s="1"/>
      <c r="M9" s="1"/>
      <c r="N9" s="1"/>
      <c r="O9" s="1"/>
      <c r="P9" s="1"/>
      <c r="Q9" s="1"/>
      <c r="R9" s="1"/>
      <c r="S9" s="8"/>
      <c r="T9" s="8"/>
      <c r="U9" s="8"/>
      <c r="V9" s="8"/>
      <c r="W9" s="4"/>
      <c r="X9" s="4"/>
      <c r="Y9" s="4"/>
      <c r="Z9" s="4"/>
      <c r="AA9" s="4"/>
    </row>
    <row r="10" spans="1:27" ht="30" customHeight="1" x14ac:dyDescent="0.3">
      <c r="A10" s="1"/>
      <c r="B10" s="1"/>
      <c r="C10" s="2"/>
      <c r="D10" s="2"/>
      <c r="E10" s="1"/>
      <c r="F10" s="3"/>
      <c r="G10" s="3"/>
      <c r="H10" s="3"/>
      <c r="I10" s="3"/>
      <c r="J10" s="3"/>
      <c r="K10" s="1"/>
      <c r="L10" s="1"/>
      <c r="M10" s="1"/>
      <c r="N10" s="1"/>
      <c r="O10" s="1"/>
      <c r="P10" s="1"/>
      <c r="Q10" s="1"/>
      <c r="R10" s="1"/>
      <c r="S10" s="8"/>
      <c r="T10" s="8"/>
      <c r="U10" s="8"/>
      <c r="V10" s="8"/>
      <c r="W10" s="4"/>
      <c r="X10" s="4"/>
      <c r="Y10" s="4"/>
      <c r="Z10" s="4"/>
      <c r="AA10" s="4"/>
    </row>
    <row r="11" spans="1:27" ht="30" customHeight="1" x14ac:dyDescent="0.3">
      <c r="A11" s="14"/>
      <c r="B11" s="14"/>
      <c r="C11" s="2"/>
      <c r="D11" s="15"/>
      <c r="E11" s="16"/>
      <c r="F11" s="17"/>
      <c r="G11" s="17"/>
      <c r="H11" s="17"/>
      <c r="I11" s="3"/>
      <c r="J11" s="3"/>
      <c r="K11" s="14"/>
      <c r="L11" s="14"/>
      <c r="M11" s="14"/>
      <c r="N11" s="14"/>
      <c r="O11" s="1"/>
      <c r="P11" s="1"/>
      <c r="Q11" s="14"/>
      <c r="R11" s="14"/>
      <c r="S11" s="8"/>
      <c r="T11" s="8"/>
      <c r="U11" s="8"/>
      <c r="V11" s="8"/>
      <c r="W11" s="4"/>
      <c r="X11" s="4"/>
      <c r="Y11" s="4"/>
      <c r="Z11" s="4"/>
      <c r="AA11" s="4"/>
    </row>
    <row r="12" spans="1:27" ht="30" customHeight="1" x14ac:dyDescent="0.3">
      <c r="A12" s="1"/>
      <c r="B12" s="1"/>
      <c r="C12" s="2"/>
      <c r="D12" s="2"/>
      <c r="E12" s="21"/>
      <c r="F12" s="3"/>
      <c r="G12" s="3"/>
      <c r="H12" s="3"/>
      <c r="I12" s="3"/>
      <c r="J12" s="3"/>
      <c r="K12" s="1"/>
      <c r="L12" s="1"/>
      <c r="M12" s="1"/>
      <c r="N12" s="1"/>
      <c r="O12" s="1"/>
      <c r="P12" s="1"/>
      <c r="Q12" s="1"/>
      <c r="R12" s="1"/>
      <c r="S12" s="8"/>
      <c r="T12" s="8"/>
      <c r="U12" s="8"/>
      <c r="V12" s="8"/>
      <c r="W12" s="4"/>
      <c r="X12" s="4"/>
      <c r="Y12" s="4"/>
      <c r="Z12" s="4"/>
      <c r="AA12" s="4"/>
    </row>
    <row r="13" spans="1:27" ht="30" customHeight="1" x14ac:dyDescent="0.3">
      <c r="A13" s="1"/>
      <c r="B13" s="1"/>
      <c r="C13" s="2"/>
      <c r="D13" s="2"/>
      <c r="E13" s="21"/>
      <c r="F13" s="3"/>
      <c r="G13" s="3"/>
      <c r="H13" s="3"/>
      <c r="I13" s="3"/>
      <c r="J13" s="3"/>
      <c r="K13" s="1"/>
      <c r="L13" s="1"/>
      <c r="M13" s="1"/>
      <c r="N13" s="1"/>
      <c r="O13" s="1"/>
      <c r="P13" s="1"/>
      <c r="Q13" s="1"/>
      <c r="R13" s="1"/>
      <c r="S13" s="8"/>
      <c r="T13" s="8"/>
      <c r="U13" s="8"/>
      <c r="V13" s="8"/>
      <c r="W13" s="4"/>
      <c r="X13" s="4"/>
      <c r="Y13" s="4"/>
      <c r="Z13" s="4"/>
      <c r="AA13" s="4"/>
    </row>
    <row r="14" spans="1:27" ht="30" customHeight="1" x14ac:dyDescent="0.3">
      <c r="A14" s="1"/>
      <c r="B14" s="1"/>
      <c r="C14" s="2"/>
      <c r="D14" s="2"/>
      <c r="E14" s="21"/>
      <c r="F14" s="3"/>
      <c r="G14" s="3"/>
      <c r="H14" s="3"/>
      <c r="I14" s="3"/>
      <c r="J14" s="3"/>
      <c r="K14" s="1"/>
      <c r="L14" s="1"/>
      <c r="M14" s="1"/>
      <c r="N14" s="1"/>
      <c r="O14" s="1"/>
      <c r="P14" s="1"/>
      <c r="Q14" s="1"/>
      <c r="R14" s="1"/>
      <c r="S14" s="8"/>
      <c r="T14" s="8"/>
      <c r="U14" s="8"/>
      <c r="V14" s="8"/>
      <c r="W14" s="4"/>
      <c r="X14" s="4"/>
      <c r="Y14" s="4"/>
      <c r="Z14" s="4"/>
      <c r="AA14" s="4"/>
    </row>
    <row r="15" spans="1:27" ht="30" customHeight="1" x14ac:dyDescent="0.3">
      <c r="A15" s="1"/>
      <c r="B15" s="1"/>
      <c r="C15" s="2"/>
      <c r="D15" s="2"/>
      <c r="E15" s="21"/>
      <c r="F15" s="3"/>
      <c r="G15" s="3"/>
      <c r="H15" s="3"/>
      <c r="I15" s="3"/>
      <c r="J15" s="3"/>
      <c r="K15" s="1"/>
      <c r="L15" s="1"/>
      <c r="M15" s="1"/>
      <c r="N15" s="1"/>
      <c r="O15" s="1"/>
      <c r="P15" s="1"/>
      <c r="Q15" s="1"/>
      <c r="R15" s="1"/>
      <c r="S15" s="8"/>
      <c r="T15" s="8"/>
      <c r="U15" s="8"/>
      <c r="V15" s="8"/>
      <c r="W15" s="4"/>
      <c r="X15" s="4"/>
      <c r="Y15" s="4"/>
      <c r="Z15" s="4"/>
      <c r="AA15" s="4"/>
    </row>
    <row r="16" spans="1:27" ht="30" customHeight="1" x14ac:dyDescent="0.3">
      <c r="A16" s="1"/>
      <c r="B16" s="1"/>
      <c r="C16" s="2"/>
      <c r="D16" s="2"/>
      <c r="E16" s="21"/>
      <c r="F16" s="3"/>
      <c r="G16" s="3"/>
      <c r="H16" s="3"/>
      <c r="I16" s="3"/>
      <c r="J16" s="3"/>
      <c r="K16" s="1"/>
      <c r="L16" s="1"/>
      <c r="M16" s="1"/>
      <c r="N16" s="1"/>
      <c r="O16" s="1"/>
      <c r="P16" s="1"/>
      <c r="Q16" s="1"/>
      <c r="R16" s="1"/>
      <c r="S16" s="8"/>
      <c r="T16" s="8"/>
      <c r="U16" s="8"/>
      <c r="V16" s="8"/>
      <c r="W16" s="4"/>
      <c r="X16" s="4"/>
      <c r="Y16" s="4"/>
      <c r="Z16" s="4"/>
      <c r="AA16" s="4"/>
    </row>
    <row r="17" spans="1:27" ht="30" customHeight="1" x14ac:dyDescent="0.3">
      <c r="A17" s="14"/>
      <c r="B17" s="14"/>
      <c r="C17" s="15"/>
      <c r="D17" s="15"/>
      <c r="E17" s="16"/>
      <c r="F17" s="17"/>
      <c r="G17" s="17"/>
      <c r="H17" s="17"/>
      <c r="I17" s="17"/>
      <c r="J17" s="17"/>
      <c r="K17" s="14"/>
      <c r="L17" s="14"/>
      <c r="M17" s="14"/>
      <c r="N17" s="14"/>
      <c r="O17" s="14"/>
      <c r="P17" s="14"/>
      <c r="Q17" s="14"/>
      <c r="R17" s="14"/>
      <c r="S17" s="19"/>
      <c r="T17" s="19"/>
      <c r="U17" s="19"/>
      <c r="V17" s="19"/>
      <c r="W17" s="18"/>
      <c r="X17" s="18"/>
      <c r="Y17" s="18"/>
      <c r="Z17" s="18"/>
      <c r="AA17" s="18"/>
    </row>
  </sheetData>
  <phoneticPr fontId="1" type="noConversion"/>
  <dataValidations disablePrompts="1" count="1">
    <dataValidation type="list" allowBlank="1" showInputMessage="1" showErrorMessage="1" sqref="H5:H17" xr:uid="{98E19AB5-446D-43D7-84A7-8068EFD1A0B1}">
      <formula1>"DXF"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ExportXML_Sheets">
          <controlPr defaultSize="0" autoLine="0" r:id="rId5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121920</xdr:colOff>
                <xdr:row>2</xdr:row>
                <xdr:rowOff>83820</xdr:rowOff>
              </to>
            </anchor>
          </controlPr>
        </control>
      </mc:Choice>
      <mc:Fallback>
        <control shapeId="4097" r:id="rId4" name="ExportXML_Sheets"/>
      </mc:Fallback>
    </mc:AlternateContent>
    <mc:AlternateContent xmlns:mc="http://schemas.openxmlformats.org/markup-compatibility/2006">
      <mc:Choice Requires="x14">
        <control shapeId="4098" r:id="rId6" name="ExportSheet_DEF">
          <controlPr defaultSize="0" autoFill="0" autoLine="0" r:id="rId7">
            <anchor>
              <from>
                <xdr:col>2</xdr:col>
                <xdr:colOff>1242060</xdr:colOff>
                <xdr:row>0</xdr:row>
                <xdr:rowOff>152400</xdr:rowOff>
              </from>
              <to>
                <xdr:col>3</xdr:col>
                <xdr:colOff>297180</xdr:colOff>
                <xdr:row>2</xdr:row>
                <xdr:rowOff>60960</xdr:rowOff>
              </to>
            </anchor>
          </controlPr>
        </control>
      </mc:Choice>
      <mc:Fallback>
        <control shapeId="4098" r:id="rId6" name="ExportSheet_DEF"/>
      </mc:Fallback>
    </mc:AlternateContent>
    <mc:AlternateContent xmlns:mc="http://schemas.openxmlformats.org/markup-compatibility/2006">
      <mc:Choice Requires="x14">
        <control shapeId="4100" r:id="rId8" name="ExportSheet_MV">
          <controlPr defaultSize="0" autoFill="0" autoLine="0" r:id="rId9">
            <anchor>
              <from>
                <xdr:col>4</xdr:col>
                <xdr:colOff>381000</xdr:colOff>
                <xdr:row>0</xdr:row>
                <xdr:rowOff>152400</xdr:rowOff>
              </from>
              <to>
                <xdr:col>5</xdr:col>
                <xdr:colOff>906780</xdr:colOff>
                <xdr:row>2</xdr:row>
                <xdr:rowOff>60960</xdr:rowOff>
              </to>
            </anchor>
          </controlPr>
        </control>
      </mc:Choice>
      <mc:Fallback>
        <control shapeId="4100" r:id="rId8" name="ExportSheet_MV"/>
      </mc:Fallback>
    </mc:AlternateContent>
    <mc:AlternateContent xmlns:mc="http://schemas.openxmlformats.org/markup-compatibility/2006">
      <mc:Choice Requires="x14">
        <control shapeId="4101" r:id="rId10" name="ExportSheet_TN">
          <controlPr defaultSize="0" autoFill="0" autoLine="0" r:id="rId11">
            <anchor>
              <from>
                <xdr:col>3</xdr:col>
                <xdr:colOff>632460</xdr:colOff>
                <xdr:row>0</xdr:row>
                <xdr:rowOff>152400</xdr:rowOff>
              </from>
              <to>
                <xdr:col>4</xdr:col>
                <xdr:colOff>0</xdr:colOff>
                <xdr:row>2</xdr:row>
                <xdr:rowOff>60960</xdr:rowOff>
              </to>
            </anchor>
          </controlPr>
        </control>
      </mc:Choice>
      <mc:Fallback>
        <control shapeId="4101" r:id="rId10" name="ExportSheet_TN"/>
      </mc:Fallback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E9C42-F8EC-4BA1-BAD4-C7D856C2C71E}">
  <sheetPr codeName="Arkusz5"/>
  <dimension ref="A1:AA20"/>
  <sheetViews>
    <sheetView zoomScale="90" zoomScaleNormal="90" workbookViewId="0"/>
  </sheetViews>
  <sheetFormatPr defaultRowHeight="14.4" x14ac:dyDescent="0.3"/>
  <cols>
    <col min="1" max="1" width="5.5546875" customWidth="1"/>
    <col min="2" max="2" width="23.44140625" customWidth="1"/>
    <col min="3" max="3" width="19.6640625" style="22" customWidth="1"/>
    <col min="4" max="4" width="41.109375" bestFit="1" customWidth="1"/>
    <col min="5" max="5" width="10.44140625" customWidth="1"/>
    <col min="6" max="8" width="10.33203125" style="5" customWidth="1"/>
    <col min="9" max="9" width="14.5546875" style="5" customWidth="1"/>
    <col min="10" max="10" width="15.88671875" style="5" customWidth="1"/>
    <col min="11" max="13" width="13.109375" customWidth="1"/>
    <col min="14" max="14" width="23" customWidth="1"/>
    <col min="15" max="15" width="19.6640625" customWidth="1"/>
    <col min="16" max="16" width="17" customWidth="1"/>
    <col min="17" max="17" width="15.88671875" customWidth="1"/>
    <col min="18" max="18" width="14" customWidth="1"/>
    <col min="19" max="19" width="18.6640625" customWidth="1"/>
    <col min="20" max="20" width="17.5546875" bestFit="1" customWidth="1"/>
    <col min="21" max="21" width="24" customWidth="1"/>
    <col min="22" max="22" width="17.5546875" bestFit="1" customWidth="1"/>
    <col min="23" max="23" width="13.6640625" customWidth="1"/>
    <col min="24" max="24" width="11" customWidth="1"/>
    <col min="25" max="25" width="16" customWidth="1"/>
    <col min="26" max="26" width="17.44140625" customWidth="1"/>
    <col min="27" max="27" width="10.88671875" customWidth="1"/>
  </cols>
  <sheetData>
    <row r="1" spans="1:27" x14ac:dyDescent="0.3">
      <c r="F1"/>
      <c r="G1"/>
      <c r="H1"/>
      <c r="I1"/>
      <c r="J1"/>
    </row>
    <row r="2" spans="1:27" x14ac:dyDescent="0.3">
      <c r="J2"/>
    </row>
    <row r="3" spans="1:27" x14ac:dyDescent="0.3"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ht="50.1" customHeight="1" thickBot="1" x14ac:dyDescent="0.35">
      <c r="A4" s="11" t="s">
        <v>0</v>
      </c>
      <c r="B4" s="11" t="s">
        <v>50</v>
      </c>
      <c r="C4" s="11" t="s">
        <v>64</v>
      </c>
      <c r="D4" s="11" t="s">
        <v>65</v>
      </c>
      <c r="E4" s="11" t="s">
        <v>4</v>
      </c>
      <c r="F4" s="12" t="s">
        <v>66</v>
      </c>
      <c r="G4" s="12" t="s">
        <v>69</v>
      </c>
      <c r="H4" s="12" t="s">
        <v>70</v>
      </c>
      <c r="I4" s="12" t="s">
        <v>21</v>
      </c>
      <c r="J4" s="12" t="s">
        <v>67</v>
      </c>
      <c r="K4" s="11" t="s">
        <v>8</v>
      </c>
      <c r="L4" s="11" t="s">
        <v>9</v>
      </c>
      <c r="M4" s="11" t="s">
        <v>10</v>
      </c>
      <c r="N4" s="11" t="s">
        <v>49</v>
      </c>
      <c r="O4" s="11" t="s">
        <v>51</v>
      </c>
      <c r="P4" s="11" t="s">
        <v>52</v>
      </c>
      <c r="Q4" s="11" t="s">
        <v>53</v>
      </c>
      <c r="R4" s="11" t="s">
        <v>19</v>
      </c>
      <c r="S4" s="13" t="s">
        <v>54</v>
      </c>
      <c r="T4" s="13" t="s">
        <v>55</v>
      </c>
      <c r="U4" s="13" t="s">
        <v>56</v>
      </c>
      <c r="V4" s="13" t="s">
        <v>57</v>
      </c>
      <c r="W4" s="13" t="s">
        <v>58</v>
      </c>
      <c r="X4" s="13" t="s">
        <v>59</v>
      </c>
      <c r="Y4" s="13" t="s">
        <v>60</v>
      </c>
      <c r="Z4" s="13" t="s">
        <v>61</v>
      </c>
      <c r="AA4" s="13" t="s">
        <v>6</v>
      </c>
    </row>
    <row r="5" spans="1:27" ht="30" customHeight="1" thickTop="1" x14ac:dyDescent="0.3">
      <c r="A5" s="1">
        <v>1</v>
      </c>
      <c r="B5" s="1"/>
      <c r="C5" s="31">
        <v>312300</v>
      </c>
      <c r="D5" t="s">
        <v>106</v>
      </c>
      <c r="E5" s="10" t="s">
        <v>91</v>
      </c>
      <c r="F5" s="3"/>
      <c r="G5" s="3"/>
      <c r="H5" s="3"/>
      <c r="I5" s="3">
        <v>12000</v>
      </c>
      <c r="J5" s="1" t="s">
        <v>126</v>
      </c>
      <c r="K5" s="1"/>
      <c r="L5" s="1"/>
      <c r="M5" s="1"/>
      <c r="N5" s="1"/>
      <c r="O5" s="1"/>
      <c r="P5" s="1">
        <v>0</v>
      </c>
      <c r="Q5" s="1"/>
      <c r="R5" s="1"/>
      <c r="S5" s="9"/>
      <c r="T5" s="4"/>
      <c r="U5" s="4"/>
      <c r="V5" s="4"/>
      <c r="W5" s="8" t="s">
        <v>68</v>
      </c>
      <c r="X5" s="8"/>
      <c r="Y5" s="8"/>
      <c r="Z5" s="8"/>
      <c r="AA5" s="8">
        <v>1</v>
      </c>
    </row>
    <row r="6" spans="1:27" ht="30" customHeight="1" x14ac:dyDescent="0.3">
      <c r="A6" s="1">
        <v>2</v>
      </c>
      <c r="B6" s="1"/>
      <c r="C6" s="31">
        <v>147900</v>
      </c>
      <c r="D6" t="s">
        <v>107</v>
      </c>
      <c r="E6" s="10" t="s">
        <v>91</v>
      </c>
      <c r="F6" s="3"/>
      <c r="G6" s="3"/>
      <c r="H6" s="3"/>
      <c r="I6" s="3">
        <v>12000</v>
      </c>
      <c r="J6" s="1" t="s">
        <v>127</v>
      </c>
      <c r="K6" s="1"/>
      <c r="L6" s="1"/>
      <c r="M6" s="1"/>
      <c r="N6" s="1"/>
      <c r="O6" s="1"/>
      <c r="P6" s="1"/>
      <c r="Q6" s="1"/>
      <c r="R6" s="1"/>
      <c r="S6" s="9"/>
      <c r="T6" s="4"/>
      <c r="U6" s="4"/>
      <c r="V6" s="4"/>
      <c r="W6" s="8" t="s">
        <v>68</v>
      </c>
      <c r="X6" s="8"/>
      <c r="Y6" s="8"/>
      <c r="Z6" s="8"/>
      <c r="AA6" s="8">
        <v>1</v>
      </c>
    </row>
    <row r="7" spans="1:27" ht="30" customHeight="1" x14ac:dyDescent="0.3">
      <c r="A7" s="1">
        <v>3</v>
      </c>
      <c r="B7" s="1"/>
      <c r="C7" s="31">
        <v>400100</v>
      </c>
      <c r="D7" t="s">
        <v>108</v>
      </c>
      <c r="E7" s="10" t="s">
        <v>91</v>
      </c>
      <c r="F7" s="3"/>
      <c r="G7" s="3"/>
      <c r="H7" s="3"/>
      <c r="I7" s="3">
        <v>12000</v>
      </c>
      <c r="J7" s="1" t="s">
        <v>128</v>
      </c>
      <c r="K7" s="1"/>
      <c r="L7" s="1"/>
      <c r="M7" s="1"/>
      <c r="N7" s="1"/>
      <c r="O7" s="1"/>
      <c r="P7" s="1"/>
      <c r="Q7" s="1"/>
      <c r="R7" s="1"/>
      <c r="S7" s="9"/>
      <c r="T7" s="4"/>
      <c r="U7" s="4"/>
      <c r="V7" s="4"/>
      <c r="W7" s="8" t="s">
        <v>68</v>
      </c>
      <c r="X7" s="8"/>
      <c r="Y7" s="8"/>
      <c r="Z7" s="8"/>
      <c r="AA7" s="8">
        <v>1</v>
      </c>
    </row>
    <row r="8" spans="1:27" ht="30" customHeight="1" x14ac:dyDescent="0.3">
      <c r="A8" s="1">
        <v>4</v>
      </c>
      <c r="B8" s="1"/>
      <c r="C8" s="31">
        <v>3912200</v>
      </c>
      <c r="D8" t="s">
        <v>109</v>
      </c>
      <c r="E8" s="10" t="s">
        <v>91</v>
      </c>
      <c r="F8" s="3"/>
      <c r="G8" s="3"/>
      <c r="H8" s="3"/>
      <c r="I8" s="3">
        <v>12000</v>
      </c>
      <c r="J8" s="1" t="s">
        <v>129</v>
      </c>
      <c r="K8" s="1"/>
      <c r="L8" s="1"/>
      <c r="M8" s="1"/>
      <c r="N8" s="1"/>
      <c r="O8" s="1"/>
      <c r="P8" s="1"/>
      <c r="Q8" s="1"/>
      <c r="R8" s="1"/>
      <c r="S8" s="9"/>
      <c r="T8" s="4"/>
      <c r="U8" s="4"/>
      <c r="V8" s="4"/>
      <c r="W8" s="8" t="s">
        <v>68</v>
      </c>
      <c r="X8" s="8"/>
      <c r="Y8" s="8"/>
      <c r="Z8" s="8"/>
      <c r="AA8" s="8">
        <v>1</v>
      </c>
    </row>
    <row r="9" spans="1:27" ht="30" customHeight="1" x14ac:dyDescent="0.3">
      <c r="A9" s="1">
        <v>5</v>
      </c>
      <c r="B9" s="1"/>
      <c r="C9" s="31">
        <v>3339800</v>
      </c>
      <c r="D9" t="s">
        <v>110</v>
      </c>
      <c r="E9" s="10" t="s">
        <v>91</v>
      </c>
      <c r="F9" s="3"/>
      <c r="G9" s="3"/>
      <c r="H9" s="3"/>
      <c r="I9" s="3">
        <v>12000</v>
      </c>
      <c r="J9" s="1" t="s">
        <v>130</v>
      </c>
      <c r="K9" s="1"/>
      <c r="L9" s="1"/>
      <c r="M9" s="1"/>
      <c r="N9" s="1"/>
      <c r="O9" s="1"/>
      <c r="P9" s="1"/>
      <c r="Q9" s="1"/>
      <c r="R9" s="1"/>
      <c r="S9" s="9"/>
      <c r="T9" s="4"/>
      <c r="U9" s="4"/>
      <c r="V9" s="4"/>
      <c r="W9" s="8" t="s">
        <v>68</v>
      </c>
      <c r="X9" s="8"/>
      <c r="Y9" s="8"/>
      <c r="Z9" s="8"/>
      <c r="AA9" s="8">
        <v>1</v>
      </c>
    </row>
    <row r="10" spans="1:27" ht="30" customHeight="1" x14ac:dyDescent="0.3">
      <c r="A10" s="1">
        <v>6</v>
      </c>
      <c r="B10" s="1"/>
      <c r="C10" s="31">
        <v>305500</v>
      </c>
      <c r="D10" t="s">
        <v>111</v>
      </c>
      <c r="E10" s="10" t="s">
        <v>91</v>
      </c>
      <c r="F10" s="3"/>
      <c r="G10" s="3"/>
      <c r="H10" s="3"/>
      <c r="I10" s="3">
        <v>12000</v>
      </c>
      <c r="J10" s="1" t="s">
        <v>131</v>
      </c>
      <c r="K10" s="1"/>
      <c r="L10" s="1"/>
      <c r="M10" s="1"/>
      <c r="N10" s="1"/>
      <c r="O10" s="1"/>
      <c r="P10" s="1"/>
      <c r="Q10" s="1"/>
      <c r="R10" s="1"/>
      <c r="S10" s="9"/>
      <c r="T10" s="4"/>
      <c r="U10" s="4"/>
      <c r="V10" s="4"/>
      <c r="W10" s="8" t="s">
        <v>68</v>
      </c>
      <c r="X10" s="8"/>
      <c r="Y10" s="8"/>
      <c r="Z10" s="8"/>
      <c r="AA10" s="8">
        <v>1</v>
      </c>
    </row>
    <row r="11" spans="1:27" ht="30" customHeight="1" x14ac:dyDescent="0.3">
      <c r="A11" s="1">
        <v>7</v>
      </c>
      <c r="B11" s="14"/>
      <c r="C11" s="31">
        <v>4019200</v>
      </c>
      <c r="D11" t="s">
        <v>112</v>
      </c>
      <c r="E11" s="32" t="s">
        <v>122</v>
      </c>
      <c r="F11" s="17"/>
      <c r="G11" s="17"/>
      <c r="H11" s="17"/>
      <c r="I11" s="3">
        <v>12000</v>
      </c>
      <c r="J11" s="1" t="s">
        <v>128</v>
      </c>
      <c r="K11" s="14"/>
      <c r="L11" s="14"/>
      <c r="M11" s="14"/>
      <c r="N11" s="14"/>
      <c r="O11" s="1"/>
      <c r="P11" s="1"/>
      <c r="Q11" s="14"/>
      <c r="R11" s="14"/>
      <c r="S11" s="9"/>
      <c r="T11" s="18"/>
      <c r="U11" s="18"/>
      <c r="V11" s="4"/>
      <c r="W11" s="8" t="s">
        <v>68</v>
      </c>
      <c r="X11" s="19"/>
      <c r="Y11" s="19"/>
      <c r="Z11" s="19"/>
      <c r="AA11" s="8">
        <v>1</v>
      </c>
    </row>
    <row r="12" spans="1:27" ht="30" customHeight="1" x14ac:dyDescent="0.3">
      <c r="A12" s="1">
        <v>8</v>
      </c>
      <c r="B12" s="1"/>
      <c r="C12" s="31">
        <v>3779400</v>
      </c>
      <c r="D12" t="s">
        <v>113</v>
      </c>
      <c r="E12" s="21" t="s">
        <v>123</v>
      </c>
      <c r="F12" s="3"/>
      <c r="G12" s="3"/>
      <c r="H12" s="3"/>
      <c r="I12" s="3">
        <v>12000</v>
      </c>
      <c r="J12" s="1" t="s">
        <v>132</v>
      </c>
      <c r="K12" s="1"/>
      <c r="L12" s="1"/>
      <c r="M12" s="1"/>
      <c r="N12" s="1"/>
      <c r="O12" s="1"/>
      <c r="P12" s="1"/>
      <c r="Q12" s="1"/>
      <c r="R12" s="1"/>
      <c r="S12" s="9"/>
      <c r="T12" s="4"/>
      <c r="U12" s="4"/>
      <c r="V12" s="4"/>
      <c r="W12" s="8" t="s">
        <v>68</v>
      </c>
      <c r="X12" s="8"/>
      <c r="Y12" s="8"/>
      <c r="Z12" s="8"/>
      <c r="AA12" s="8">
        <v>1</v>
      </c>
    </row>
    <row r="13" spans="1:27" ht="30" customHeight="1" x14ac:dyDescent="0.3">
      <c r="A13" s="1">
        <v>9</v>
      </c>
      <c r="B13" s="1"/>
      <c r="C13" s="31">
        <v>4099000</v>
      </c>
      <c r="D13" t="s">
        <v>114</v>
      </c>
      <c r="E13" s="10" t="s">
        <v>91</v>
      </c>
      <c r="F13" s="3"/>
      <c r="G13" s="3"/>
      <c r="H13" s="3"/>
      <c r="I13" s="3">
        <v>12000</v>
      </c>
      <c r="J13" s="1" t="s">
        <v>133</v>
      </c>
      <c r="K13" s="1"/>
      <c r="L13" s="1"/>
      <c r="M13" s="1"/>
      <c r="N13" s="1"/>
      <c r="O13" s="1"/>
      <c r="P13" s="1"/>
      <c r="Q13" s="1"/>
      <c r="R13" s="1"/>
      <c r="S13" s="9"/>
      <c r="T13" s="4"/>
      <c r="U13" s="4"/>
      <c r="V13" s="4"/>
      <c r="W13" s="8" t="s">
        <v>68</v>
      </c>
      <c r="X13" s="8"/>
      <c r="Y13" s="8"/>
      <c r="Z13" s="8"/>
      <c r="AA13" s="8">
        <v>1</v>
      </c>
    </row>
    <row r="14" spans="1:27" ht="30" customHeight="1" x14ac:dyDescent="0.3">
      <c r="A14" s="1">
        <v>10</v>
      </c>
      <c r="B14" s="1"/>
      <c r="C14" s="31">
        <v>548100</v>
      </c>
      <c r="D14" t="s">
        <v>115</v>
      </c>
      <c r="E14" s="10" t="s">
        <v>123</v>
      </c>
      <c r="F14" s="3"/>
      <c r="G14" s="3"/>
      <c r="H14" s="3"/>
      <c r="I14" s="3">
        <v>12000</v>
      </c>
      <c r="J14" s="1" t="s">
        <v>132</v>
      </c>
      <c r="K14" s="1"/>
      <c r="L14" s="1"/>
      <c r="M14" s="1"/>
      <c r="N14" s="1"/>
      <c r="O14" s="1"/>
      <c r="P14" s="1"/>
      <c r="Q14" s="1"/>
      <c r="R14" s="1"/>
      <c r="S14" s="9"/>
      <c r="T14" s="4"/>
      <c r="U14" s="4"/>
      <c r="V14" s="4"/>
      <c r="W14" s="8" t="s">
        <v>68</v>
      </c>
      <c r="X14" s="8"/>
      <c r="Y14" s="8"/>
      <c r="Z14" s="8"/>
      <c r="AA14" s="8">
        <v>1</v>
      </c>
    </row>
    <row r="15" spans="1:27" ht="30" customHeight="1" x14ac:dyDescent="0.3">
      <c r="A15" s="1">
        <v>11</v>
      </c>
      <c r="B15" s="1"/>
      <c r="C15" s="31">
        <v>773700</v>
      </c>
      <c r="D15" t="s">
        <v>116</v>
      </c>
      <c r="E15" s="10" t="s">
        <v>124</v>
      </c>
      <c r="F15" s="3"/>
      <c r="G15" s="3"/>
      <c r="H15" s="3"/>
      <c r="I15" s="3">
        <v>12000</v>
      </c>
      <c r="J15" s="1" t="s">
        <v>136</v>
      </c>
      <c r="K15" s="1"/>
      <c r="L15" s="1"/>
      <c r="M15" s="1"/>
      <c r="N15" s="1"/>
      <c r="O15" s="1"/>
      <c r="P15" s="1"/>
      <c r="Q15" s="1"/>
      <c r="R15" s="1"/>
      <c r="S15" s="9"/>
      <c r="T15" s="4"/>
      <c r="U15" s="4"/>
      <c r="V15" s="4"/>
      <c r="W15" s="8" t="s">
        <v>68</v>
      </c>
      <c r="X15" s="8"/>
      <c r="Y15" s="8"/>
      <c r="Z15" s="8"/>
      <c r="AA15" s="8">
        <v>1</v>
      </c>
    </row>
    <row r="16" spans="1:27" ht="30" customHeight="1" x14ac:dyDescent="0.3">
      <c r="A16" s="1">
        <v>12</v>
      </c>
      <c r="B16" s="1"/>
      <c r="C16" s="31">
        <v>22864000</v>
      </c>
      <c r="D16" t="s">
        <v>117</v>
      </c>
      <c r="E16" s="10" t="s">
        <v>125</v>
      </c>
      <c r="F16" s="3"/>
      <c r="G16" s="3"/>
      <c r="H16" s="3"/>
      <c r="I16" s="3">
        <v>12000</v>
      </c>
      <c r="J16" s="1" t="s">
        <v>135</v>
      </c>
      <c r="K16" s="1"/>
      <c r="L16" s="1"/>
      <c r="M16" s="1"/>
      <c r="N16" s="1"/>
      <c r="O16" s="1"/>
      <c r="P16" s="1"/>
      <c r="Q16" s="1"/>
      <c r="R16" s="1"/>
      <c r="S16" s="9"/>
      <c r="T16" s="4"/>
      <c r="U16" s="4"/>
      <c r="V16" s="4"/>
      <c r="W16" s="8" t="s">
        <v>68</v>
      </c>
      <c r="X16" s="8"/>
      <c r="Y16" s="8"/>
      <c r="Z16" s="8"/>
      <c r="AA16" s="8">
        <v>1</v>
      </c>
    </row>
    <row r="17" spans="1:27" ht="30" customHeight="1" x14ac:dyDescent="0.3">
      <c r="A17" s="1">
        <v>13</v>
      </c>
      <c r="B17" s="1"/>
      <c r="C17" s="31">
        <v>654400</v>
      </c>
      <c r="D17" t="s">
        <v>118</v>
      </c>
      <c r="E17" s="10" t="s">
        <v>124</v>
      </c>
      <c r="F17" s="3"/>
      <c r="G17" s="3"/>
      <c r="H17" s="3"/>
      <c r="I17" s="3">
        <v>12000</v>
      </c>
      <c r="J17" s="1" t="s">
        <v>134</v>
      </c>
      <c r="K17" s="1"/>
      <c r="L17" s="1"/>
      <c r="M17" s="1"/>
      <c r="N17" s="1"/>
      <c r="O17" s="1"/>
      <c r="P17" s="1"/>
      <c r="Q17" s="1"/>
      <c r="R17" s="1"/>
      <c r="S17" s="9"/>
      <c r="T17" s="4"/>
      <c r="U17" s="4"/>
      <c r="V17" s="4"/>
      <c r="W17" s="8" t="s">
        <v>68</v>
      </c>
      <c r="X17" s="8"/>
      <c r="Y17" s="8"/>
      <c r="Z17" s="8"/>
      <c r="AA17" s="8">
        <v>1</v>
      </c>
    </row>
    <row r="18" spans="1:27" x14ac:dyDescent="0.3">
      <c r="A18" s="1">
        <v>14</v>
      </c>
      <c r="B18" s="1"/>
      <c r="C18" s="31">
        <v>3374700</v>
      </c>
      <c r="D18" t="s">
        <v>119</v>
      </c>
      <c r="E18" s="10" t="s">
        <v>125</v>
      </c>
      <c r="F18" s="3"/>
      <c r="G18" s="3"/>
      <c r="H18" s="3"/>
      <c r="I18" s="3">
        <v>12000</v>
      </c>
      <c r="J18" s="1" t="s">
        <v>137</v>
      </c>
      <c r="K18" s="1"/>
      <c r="L18" s="1"/>
      <c r="M18" s="1"/>
      <c r="N18" s="1"/>
      <c r="O18" s="1"/>
      <c r="P18" s="1"/>
      <c r="Q18" s="1"/>
      <c r="R18" s="1"/>
      <c r="S18" s="4"/>
      <c r="T18" s="4"/>
      <c r="U18" s="4"/>
      <c r="V18" s="4"/>
      <c r="W18" s="8" t="s">
        <v>68</v>
      </c>
      <c r="X18" s="8"/>
      <c r="Y18" s="8"/>
      <c r="Z18" s="8"/>
      <c r="AA18" s="8">
        <v>1</v>
      </c>
    </row>
    <row r="19" spans="1:27" x14ac:dyDescent="0.3">
      <c r="A19" s="1">
        <v>15</v>
      </c>
      <c r="B19" s="1"/>
      <c r="C19" s="31">
        <v>1145900</v>
      </c>
      <c r="D19" t="s">
        <v>120</v>
      </c>
      <c r="E19" s="10" t="s">
        <v>125</v>
      </c>
      <c r="F19" s="3"/>
      <c r="G19" s="3"/>
      <c r="H19" s="3"/>
      <c r="I19" s="3">
        <v>12000</v>
      </c>
      <c r="J19" s="1" t="s">
        <v>138</v>
      </c>
      <c r="K19" s="1"/>
      <c r="L19" s="1"/>
      <c r="M19" s="1"/>
      <c r="N19" s="1"/>
      <c r="O19" s="1"/>
      <c r="P19" s="1"/>
      <c r="Q19" s="1"/>
      <c r="R19" s="1"/>
      <c r="S19" s="4"/>
      <c r="T19" s="4"/>
      <c r="U19" s="4"/>
      <c r="V19" s="4"/>
      <c r="W19" s="8" t="s">
        <v>68</v>
      </c>
      <c r="X19" s="8"/>
      <c r="Y19" s="8"/>
      <c r="Z19" s="8"/>
      <c r="AA19" s="8">
        <v>1</v>
      </c>
    </row>
    <row r="20" spans="1:27" x14ac:dyDescent="0.3">
      <c r="A20" s="1">
        <v>16</v>
      </c>
      <c r="B20" s="1"/>
      <c r="C20" s="31">
        <v>66000</v>
      </c>
      <c r="D20" t="s">
        <v>121</v>
      </c>
      <c r="E20" s="10" t="s">
        <v>91</v>
      </c>
      <c r="F20" s="3"/>
      <c r="G20" s="3"/>
      <c r="H20" s="3"/>
      <c r="I20" s="3">
        <v>12000</v>
      </c>
      <c r="J20" s="33" t="s">
        <v>139</v>
      </c>
      <c r="K20" s="1"/>
      <c r="L20" s="1"/>
      <c r="M20" s="1"/>
      <c r="N20" s="1"/>
      <c r="O20" s="1"/>
      <c r="P20" s="1"/>
      <c r="Q20" s="1"/>
      <c r="R20" s="1"/>
      <c r="S20" s="4"/>
      <c r="T20" s="4"/>
      <c r="U20" s="4"/>
      <c r="V20" s="4"/>
      <c r="W20" s="8" t="s">
        <v>68</v>
      </c>
      <c r="X20" s="8"/>
      <c r="Y20" s="8"/>
      <c r="Z20" s="8"/>
      <c r="AA20" s="8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ExportProfile_TN">
          <controlPr defaultSize="0" autoFill="0" autoLine="0" r:id="rId5">
            <anchor>
              <from>
                <xdr:col>3</xdr:col>
                <xdr:colOff>655320</xdr:colOff>
                <xdr:row>0</xdr:row>
                <xdr:rowOff>152400</xdr:rowOff>
              </from>
              <to>
                <xdr:col>3</xdr:col>
                <xdr:colOff>1813560</xdr:colOff>
                <xdr:row>2</xdr:row>
                <xdr:rowOff>60960</xdr:rowOff>
              </to>
            </anchor>
          </controlPr>
        </control>
      </mc:Choice>
      <mc:Fallback>
        <control shapeId="6148" r:id="rId4" name="ExportProfile_TN"/>
      </mc:Fallback>
    </mc:AlternateContent>
    <mc:AlternateContent xmlns:mc="http://schemas.openxmlformats.org/markup-compatibility/2006">
      <mc:Choice Requires="x14">
        <control shapeId="6147" r:id="rId6" name="ExportProfile_MV">
          <controlPr defaultSize="0" autoFill="0" autoLine="0" r:id="rId7">
            <anchor>
              <from>
                <xdr:col>3</xdr:col>
                <xdr:colOff>2202180</xdr:colOff>
                <xdr:row>0</xdr:row>
                <xdr:rowOff>152400</xdr:rowOff>
              </from>
              <to>
                <xdr:col>4</xdr:col>
                <xdr:colOff>617220</xdr:colOff>
                <xdr:row>2</xdr:row>
                <xdr:rowOff>60960</xdr:rowOff>
              </to>
            </anchor>
          </controlPr>
        </control>
      </mc:Choice>
      <mc:Fallback>
        <control shapeId="6147" r:id="rId6" name="ExportProfile_MV"/>
      </mc:Fallback>
    </mc:AlternateContent>
    <mc:AlternateContent xmlns:mc="http://schemas.openxmlformats.org/markup-compatibility/2006">
      <mc:Choice Requires="x14">
        <control shapeId="6146" r:id="rId8" name="ExportProfile_DEF">
          <controlPr defaultSize="0" autoFill="0" autoLine="0" r:id="rId9">
            <anchor>
              <from>
                <xdr:col>2</xdr:col>
                <xdr:colOff>693420</xdr:colOff>
                <xdr:row>0</xdr:row>
                <xdr:rowOff>152400</xdr:rowOff>
              </from>
              <to>
                <xdr:col>3</xdr:col>
                <xdr:colOff>411480</xdr:colOff>
                <xdr:row>2</xdr:row>
                <xdr:rowOff>60960</xdr:rowOff>
              </to>
            </anchor>
          </controlPr>
        </control>
      </mc:Choice>
      <mc:Fallback>
        <control shapeId="6146" r:id="rId8" name="ExportProfile_DEF"/>
      </mc:Fallback>
    </mc:AlternateContent>
    <mc:AlternateContent xmlns:mc="http://schemas.openxmlformats.org/markup-compatibility/2006">
      <mc:Choice Requires="x14">
        <control shapeId="6145" r:id="rId10" name="ExportXML_Profiles">
          <controlPr defaultSize="0" autoLine="0" r:id="rId11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1</xdr:col>
                <xdr:colOff>1173480</xdr:colOff>
                <xdr:row>2</xdr:row>
                <xdr:rowOff>83820</xdr:rowOff>
              </to>
            </anchor>
          </controlPr>
        </control>
      </mc:Choice>
      <mc:Fallback>
        <control shapeId="6145" r:id="rId10" name="ExportXML_Profiles"/>
      </mc:Fallback>
    </mc:AlternateContent>
  </controls>
  <tableParts count="1">
    <tablePart r:id="rId1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A0D6B-8DDD-43DC-9F13-67E97D74E2EC}">
  <sheetPr codeName="Arkusz3"/>
  <dimension ref="A1:B7"/>
  <sheetViews>
    <sheetView workbookViewId="0">
      <selection activeCell="B4" sqref="B4"/>
    </sheetView>
  </sheetViews>
  <sheetFormatPr defaultRowHeight="14.4" x14ac:dyDescent="0.3"/>
  <cols>
    <col min="1" max="1" width="28.109375" bestFit="1" customWidth="1"/>
    <col min="2" max="2" width="62.33203125" customWidth="1"/>
  </cols>
  <sheetData>
    <row r="1" spans="1:2" x14ac:dyDescent="0.3">
      <c r="A1" s="7" t="s">
        <v>25</v>
      </c>
      <c r="B1" t="s">
        <v>90</v>
      </c>
    </row>
    <row r="2" spans="1:2" x14ac:dyDescent="0.3">
      <c r="A2" s="7" t="s">
        <v>23</v>
      </c>
      <c r="B2" t="s">
        <v>89</v>
      </c>
    </row>
    <row r="3" spans="1:2" x14ac:dyDescent="0.3">
      <c r="A3" s="7" t="s">
        <v>24</v>
      </c>
      <c r="B3" t="s">
        <v>76</v>
      </c>
    </row>
    <row r="4" spans="1:2" x14ac:dyDescent="0.3">
      <c r="A4" s="7" t="s">
        <v>62</v>
      </c>
      <c r="B4" t="s">
        <v>105</v>
      </c>
    </row>
    <row r="5" spans="1:2" x14ac:dyDescent="0.3">
      <c r="A5" s="7" t="s">
        <v>30</v>
      </c>
      <c r="B5" t="s">
        <v>96</v>
      </c>
    </row>
    <row r="6" spans="1:2" x14ac:dyDescent="0.3">
      <c r="A6" s="7" t="s">
        <v>63</v>
      </c>
      <c r="B6" t="s">
        <v>90</v>
      </c>
    </row>
    <row r="7" spans="1:2" x14ac:dyDescent="0.3">
      <c r="A7" s="7" t="s">
        <v>78</v>
      </c>
      <c r="B7" t="s">
        <v>87</v>
      </c>
    </row>
  </sheetData>
  <dataValidations count="1">
    <dataValidation type="list" allowBlank="1" showInputMessage="1" showErrorMessage="1" sqref="B7" xr:uid="{F07698C1-C912-4A05-8AAD-0EEA12F73CBB}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Sheet Parts</vt:lpstr>
      <vt:lpstr>Beam Parts</vt:lpstr>
      <vt:lpstr>Common Items</vt:lpstr>
      <vt:lpstr>Sheets</vt:lpstr>
      <vt:lpstr>Profiles</vt:lpstr>
      <vt:lpstr>Constants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Łukasz Marks</dc:creator>
  <cp:lastModifiedBy>Bartlomiej Kucaba</cp:lastModifiedBy>
  <dcterms:created xsi:type="dcterms:W3CDTF">2020-10-16T14:21:42Z</dcterms:created>
  <dcterms:modified xsi:type="dcterms:W3CDTF">2026-09-18T10:10:16Z</dcterms:modified>
</cp:coreProperties>
</file>